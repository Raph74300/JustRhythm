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v2.6 · rédigé par Raphaël</t>
        </is>
      </c>
    </row>
    <row r="3"/>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7"/>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0"/>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5"/>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8"/>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1"/>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4"/>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7"/>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0"/>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4"/>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7"/>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0"/>
    <row r="41" ht="19.5" customHeight="1">
      <c r="A41" s="3" t="inlineStr">
        <is>
          <t>Journal des versions</t>
        </is>
      </c>
    </row>
    <row r="42" ht="82" customHeight="1">
      <c r="A42"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3" ht="82" customHeight="1">
      <c r="A43"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4" ht="82" customHeight="1">
      <c r="A44"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5" ht="68" customHeight="1">
      <c r="A45"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6" ht="51.75" customHeight="1">
      <c r="A46"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7" ht="30" customHeight="1">
      <c r="A47"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8">
      <c r="A48"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9">
      <c r="A49" s="4" t="inlineStr">
        <is>
          <t>v1.0 à v1.3 — Versions antérieures, interface à identité graphique propre. Conservées pour mémoire, plus maintenues.</t>
        </is>
      </c>
    </row>
    <row r="50"/>
    <row r="51">
      <c r="A51" s="3" t="inlineStr">
        <is>
          <t>Synthèse (calculée depuis l'onglet Exigences)</t>
        </is>
      </c>
    </row>
    <row r="52">
      <c r="A52" s="5" t="inlineStr">
        <is>
          <t>Phase 1 — Indispensable</t>
        </is>
      </c>
      <c r="B52" s="6">
        <f>COUNTIFS(Exigences!$E$3:$E$200,"Indispensable",Exigences!$G$3:$G$200,"1")</f>
        <v/>
      </c>
    </row>
    <row r="53">
      <c r="A53" s="5" t="inlineStr">
        <is>
          <t>Phase 1 — Important</t>
        </is>
      </c>
      <c r="B53" s="6">
        <f>COUNTIFS(Exigences!$E$3:$E$200,"Important",Exigences!$G$3:$G$200,"1")</f>
        <v/>
      </c>
    </row>
    <row r="54">
      <c r="A54" s="5" t="inlineStr">
        <is>
          <t>Phase 1 — Souhaitable</t>
        </is>
      </c>
      <c r="B54" s="6">
        <f>COUNTIFS(Exigences!$E$3:$E$200,"Souhaitable",Exigences!$G$3:$G$200,"1")</f>
        <v/>
      </c>
    </row>
    <row r="55">
      <c r="A55" s="5" t="inlineStr">
        <is>
          <t>Phase 1 — total</t>
        </is>
      </c>
      <c r="B55" s="6">
        <f>COUNTIF(Exigences!$G$3:$G$200,"1")</f>
        <v/>
      </c>
    </row>
    <row r="56">
      <c r="A56" s="5" t="inlineStr">
        <is>
          <t>Phase 2 — reporté</t>
        </is>
      </c>
      <c r="B56" s="6">
        <f>COUNTIF(Exigences!$G$3:$G$200,"2")</f>
        <v/>
      </c>
    </row>
    <row r="57">
      <c r="A57" s="5" t="inlineStr">
        <is>
          <t>Total décrit</t>
        </is>
      </c>
      <c r="B57"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2"/>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 Trois voyants et un verdict en clair, rien d'autre : la valeur chiffrée qui les accompagnait a été retirée. Ce qu'on regarde en jouant doit se lire sans être lu.</t>
        </is>
      </c>
      <c r="E52" s="12" t="inlineStr">
        <is>
          <t>Indispensable</t>
        </is>
      </c>
      <c r="F52" s="11" t="inlineStr">
        <is>
          <t>—</t>
        </is>
      </c>
      <c r="G52" s="13" t="inlineStr">
        <is>
          <t>1</t>
        </is>
      </c>
      <c r="H52" s="14" t="inlineStr">
        <is>
          <t>l'écart de la dernière note sautait d'une frappe à l'autre : impossible de s'en servir pour se corriger en jouant — remplacé le 29/07/2026, d'abord par neuf barres graduées, réduites à trois voyants après essai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1</t>
        </is>
      </c>
      <c r="H59" s="14" t="inlineStr">
        <is>
          <t>le compteur affichait la taille de l'échantillon et restait donc bloqué à la fenêtre — corrigé le 30/07/2026</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1</t>
        </is>
      </c>
      <c r="H60" s="14" t="n"/>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1</t>
        </is>
      </c>
      <c r="H61" s="14" t="inlineStr">
        <is>
          <t>libellé corrigé le 30/07/2026 : « Régularité » se lisait à l'envers d'un écart-type</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1</t>
        </is>
      </c>
      <c r="H62" s="14" t="n"/>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1</t>
        </is>
      </c>
      <c r="H63" s="14" t="n"/>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4" ht="57" customHeight="1"/>
    <row r="85" ht="57" customHeight="1"/>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45"/>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2026-07-31T10:41:22Z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