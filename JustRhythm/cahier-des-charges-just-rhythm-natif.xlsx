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v2.4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t>
        </is>
      </c>
    </row>
    <row r="43" ht="82" customHeight="1">
      <c r="A43"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4" ht="82" customHeight="1">
      <c r="A44"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5" ht="68" customHeight="1">
      <c r="A45"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6" ht="51.75" customHeight="1">
      <c r="A46"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7" ht="30" customHeight="1">
      <c r="A47" s="4" t="inlineStr">
        <is>
          <t>v1.0 à v1.3 — Versions antérieures, interface à identité graphique propre. Conservées pour mémoire, plus maintenues.</t>
        </is>
      </c>
    </row>
    <row r="49">
      <c r="A49" s="3" t="inlineStr">
        <is>
          <t>Synthèse (calculée depuis l'onglet Exigences)</t>
        </is>
      </c>
    </row>
    <row r="50">
      <c r="A50" s="5" t="inlineStr">
        <is>
          <t>Phase 1 — Indispensable</t>
        </is>
      </c>
      <c r="B50" s="6">
        <f>COUNTIFS(Exigences!$E$3:$E$200,"Indispensable",Exigences!$G$3:$G$200,"1")</f>
        <v/>
      </c>
    </row>
    <row r="51">
      <c r="A51" s="5" t="inlineStr">
        <is>
          <t>Phase 1 — Important</t>
        </is>
      </c>
      <c r="B51" s="6">
        <f>COUNTIFS(Exigences!$E$3:$E$200,"Important",Exigences!$G$3:$G$200,"1")</f>
        <v/>
      </c>
    </row>
    <row r="52">
      <c r="A52" s="5" t="inlineStr">
        <is>
          <t>Phase 1 — Souhaitable</t>
        </is>
      </c>
      <c r="B52" s="6">
        <f>COUNTIFS(Exigences!$E$3:$E$200,"Souhaitable",Exigences!$G$3:$G$200,"1")</f>
        <v/>
      </c>
    </row>
    <row r="53">
      <c r="A53" s="5" t="inlineStr">
        <is>
          <t>Phase 1 — total</t>
        </is>
      </c>
      <c r="B53" s="6">
        <f>COUNTIF(Exigences!$G$3:$G$200,"1")</f>
        <v/>
      </c>
    </row>
    <row r="54">
      <c r="A54" s="5" t="inlineStr">
        <is>
          <t>Phase 2 — reporté</t>
        </is>
      </c>
      <c r="B54" s="6">
        <f>COUNTIF(Exigences!$G$3:$G$200,"2")</f>
        <v/>
      </c>
    </row>
    <row r="55">
      <c r="A55" s="5" t="inlineStr">
        <is>
          <t>Total décrit</t>
        </is>
      </c>
      <c r="B55"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t>
        </is>
      </c>
      <c r="E24" s="17" t="inlineStr">
        <is>
          <t>Important</t>
        </is>
      </c>
      <c r="F24" s="16" t="inlineStr">
        <is>
          <t>—</t>
        </is>
      </c>
      <c r="G24" s="18" t="inlineStr">
        <is>
          <t>2</t>
        </is>
      </c>
      <c r="H24" s="14" t="n"/>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s'ajoutant à la compensation automatique.</t>
        </is>
      </c>
      <c r="E34" s="17" t="inlineStr">
        <is>
          <t>Important</t>
        </is>
      </c>
      <c r="F34" s="16" t="inlineStr">
        <is>
          <t>0 ms</t>
        </is>
      </c>
      <c r="G34" s="13" t="inlineStr">
        <is>
          <t>1</t>
        </is>
      </c>
      <c r="H34" s="14" t="n"/>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on ne calibre pas sur sa propre perception, puisqu'on anticipe naturellement de 10 à 20 ms.</t>
        </is>
      </c>
      <c r="E35" s="17" t="inlineStr">
        <is>
          <t>Important</t>
        </is>
      </c>
      <c r="F35" s="11" t="inlineStr">
        <is>
          <t>—</t>
        </is>
      </c>
      <c r="G35" s="13" t="inlineStr">
        <is>
          <t>1</t>
        </is>
      </c>
      <c r="H35" s="14" t="n"/>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la fourchette chiffrée en petit, seule à porter l'ampleur du décalage.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visible en permanence.</t>
        </is>
      </c>
      <c r="E62" s="12" t="inlineStr">
        <is>
          <t>Indispensable</t>
        </is>
      </c>
      <c r="F62" s="16" t="inlineStr">
        <is>
          <t>—</t>
        </is>
      </c>
      <c r="G62" s="13" t="inlineStr">
        <is>
          <t>1</t>
        </is>
      </c>
      <c r="H62" s="14" t="n"/>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t>
        </is>
      </c>
      <c r="E64" s="12" t="inlineStr">
        <is>
          <t>Indispensable</t>
        </is>
      </c>
      <c r="F64" s="16" t="inlineStr">
        <is>
          <t>5 % ou 15 ms</t>
        </is>
      </c>
      <c r="G64" s="13" t="inlineStr">
        <is>
          <t>1</t>
        </is>
      </c>
      <c r="H64" s="14" t="n"/>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5"/>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2026-07-29T14:40:25Z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