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v2.5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3" ht="82" customHeight="1">
      <c r="A43"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4" ht="82" customHeight="1">
      <c r="A44"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5" ht="68" customHeight="1">
      <c r="A45"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6" ht="51.75" customHeight="1">
      <c r="A46"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7" ht="30" customHeight="1">
      <c r="A47"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8">
      <c r="A48" s="4" t="inlineStr">
        <is>
          <t>v1.0 à v1.3 — Versions antérieures, interface à identité graphique propre. Conservées pour mémoire, plus maintenues.</t>
        </is>
      </c>
    </row>
    <row r="50">
      <c r="A50" s="3" t="inlineStr">
        <is>
          <t>Synthèse (calculée depuis l'onglet Exigences)</t>
        </is>
      </c>
    </row>
    <row r="51">
      <c r="A51" s="5" t="inlineStr">
        <is>
          <t>Phase 1 — Indispensable</t>
        </is>
      </c>
      <c r="B51" s="6">
        <f>COUNTIFS(Exigences!$E$3:$E$200,"Indispensable",Exigences!$G$3:$G$200,"1")</f>
        <v/>
      </c>
    </row>
    <row r="52">
      <c r="A52" s="5" t="inlineStr">
        <is>
          <t>Phase 1 — Important</t>
        </is>
      </c>
      <c r="B52" s="6">
        <f>COUNTIFS(Exigences!$E$3:$E$200,"Important",Exigences!$G$3:$G$200,"1")</f>
        <v/>
      </c>
    </row>
    <row r="53">
      <c r="A53" s="5" t="inlineStr">
        <is>
          <t>Phase 1 — Souhaitable</t>
        </is>
      </c>
      <c r="B53" s="6">
        <f>COUNTIFS(Exigences!$E$3:$E$200,"Souhaitable",Exigences!$G$3:$G$200,"1")</f>
        <v/>
      </c>
    </row>
    <row r="54">
      <c r="A54" s="5" t="inlineStr">
        <is>
          <t>Phase 1 — total</t>
        </is>
      </c>
      <c r="B54" s="6">
        <f>COUNTIF(Exigences!$G$3:$G$200,"1")</f>
        <v/>
      </c>
    </row>
    <row r="55">
      <c r="A55" s="5" t="inlineStr">
        <is>
          <t>Phase 2 — reporté</t>
        </is>
      </c>
      <c r="B55" s="6">
        <f>COUNTIF(Exigences!$G$3:$G$200,"2")</f>
        <v/>
      </c>
    </row>
    <row r="56">
      <c r="A56" s="5" t="inlineStr">
        <is>
          <t>Total décrit</t>
        </is>
      </c>
      <c r="B56"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7"/>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Il décale l'horodatage des notes reçues, pour annuler le retard de la chaîne d'entrée (balayage, transport, tampons) : il n'agit pas sur le clic, contrairement à la compensation automatique d'EX-034.</t>
        </is>
      </c>
      <c r="E34" s="17" t="inlineStr">
        <is>
          <t>Important</t>
        </is>
      </c>
      <c r="F34" s="16" t="inlineStr">
        <is>
          <t>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2" s="12" t="inlineStr">
        <is>
          <t>Indispensable</t>
        </is>
      </c>
      <c r="F62" s="16" t="inlineStr">
        <is>
          <t>—</t>
        </is>
      </c>
      <c r="G62" s="13" t="inlineStr">
        <is>
          <t>1</t>
        </is>
      </c>
      <c r="H62" s="14" t="inlineStr">
        <is>
          <t>le compteur affichait la taille de l'échantillon et restait donc bloqué à la fenêtre — corrigé le 30/07/2026</t>
        </is>
      </c>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 Affiché sous le nom de « Dispersion » et non de « Régularité » : c'est un écart-type, donc plus le nombre est grand, moins le jeu est régulier — le libellé doit se lire dans le bon sens.</t>
        </is>
      </c>
      <c r="E64" s="12" t="inlineStr">
        <is>
          <t>Indispensable</t>
        </is>
      </c>
      <c r="F64" s="16" t="inlineStr">
        <is>
          <t>5 % ou 15 ms</t>
        </is>
      </c>
      <c r="G64" s="13" t="inlineStr">
        <is>
          <t>1</t>
        </is>
      </c>
      <c r="H64" s="14" t="inlineStr">
        <is>
          <t>libellé corrigé le 30/07/2026 : « Régularité » se lisait à l'envers d'un écart-type</t>
        </is>
      </c>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Une section « Retour clavier » dans les Réglages, avec un interrupteur « Renvoyer une note quand la frappe est juste », désactivé par défaut. Actif, il envoie un Note On vers l'instrument à chaque frappe tombée dans la zone « juste », et le Note Off correspondant au lever de la touche qui l'a déclenché : la note de retour dure exactement ce que dure le geste. Aucune note ne survit à son déclencheur — relâchement forcé au bout d'une mesure si le Note Off se perd, et extinction générale à l'arrêt, à la coupure du réglage et à la perte de la source.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actif seulement si EX-130 l'est : « Note à l'octave » et « Même note ». Libellés courts parce que l'en-tête a déjà dit où part le son et l'interrupteur à quelle condition — chaque niveau ajoute une information, aucun ne répète le précédent. Le pied de page donne d'abord l'intention, commune aux deux modes, puis la consigne de Local Control propre à celui qui est choisi : elles diffèrent d'un mode à l'autre et se contrediraient dans un pavé unique.</t>
        </is>
      </c>
      <c r="E85" s="36" t="inlineStr">
        <is>
          <t>Souhaitable</t>
        </is>
      </c>
      <c r="F85" s="33" t="inlineStr">
        <is>
          <t>note à l'octave</t>
        </is>
      </c>
      <c r="G85" s="38" t="inlineStr">
        <is>
          <t>3</t>
        </is>
      </c>
      <c r="H85" s="35" t="inlineStr">
        <is>
          <t>le mode muet suppose le Local Control coupé sur l'instrument, sinon il joue déjà tout seul en local</t>
        </is>
      </c>
    </row>
    <row r="86" ht="57" customHeight="1">
      <c r="A86" s="33" t="inlineStr">
        <is>
          <t>EX-133</t>
        </is>
      </c>
      <c r="B86" s="33" t="inlineStr">
        <is>
          <t>Instrument</t>
        </is>
      </c>
      <c r="C86" s="33" t="inlineStr">
        <is>
          <t>Je veux que le téléphone sonorise lui-même les notes que je joue, avec un timbre que je choisis, pour que mes notes et le clic sortent du même haut-parleur.</t>
        </is>
      </c>
      <c r="D86"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t>
        </is>
      </c>
      <c r="E86" s="36" t="inlineStr">
        <is>
          <t>Souhaitable</t>
        </is>
      </c>
      <c r="F86" s="33" t="inlineStr">
        <is>
          <t>désactivé, piano</t>
        </is>
      </c>
      <c r="G86" s="38" t="inlineStr">
        <is>
          <t>3</t>
        </is>
      </c>
      <c r="H86" s="35" t="n"/>
    </row>
    <row r="87" ht="57" customHeight="1">
      <c r="A87" s="33" t="inlineStr">
        <is>
          <t>EX-134</t>
        </is>
      </c>
      <c r="B87" s="33" t="inlineStr">
        <is>
          <t>Instrument</t>
        </is>
      </c>
      <c r="C87" s="33" t="inlineStr">
        <is>
          <t>Je veux que la sonorisation par l'iPhone marque aussi la justesse : une octave ajoutée quand je suis dans la zone, ou le silence quand je n'y suis pas.</t>
        </is>
      </c>
      <c r="D87"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7" s="36" t="inlineStr">
        <is>
          <t>Souhaitable</t>
        </is>
      </c>
      <c r="F87" s="33" t="inlineStr">
        <is>
          <t>rien de particulier</t>
        </is>
      </c>
      <c r="G87" s="38" t="inlineStr">
        <is>
          <t>3</t>
        </is>
      </c>
      <c r="H87" s="35" t="n"/>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37"/>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2026-07-30T13:34:31Z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