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2"/>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v2.1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68" customHeight="1">
      <c r="A42"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43" ht="51.75" customHeight="1">
      <c r="A43"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44" ht="30" customHeight="1">
      <c r="A44" s="4" t="inlineStr">
        <is>
          <t>v1.0 à v1.3 — Versions antérieures, interface à identité graphique propre. Conservées pour mémoire, plus maintenues.</t>
        </is>
      </c>
    </row>
    <row r="45" ht="30" customHeight="1"/>
    <row r="46" ht="16" customHeight="1">
      <c r="A46" s="3" t="inlineStr">
        <is>
          <t>Synthèse (calculée depuis l'onglet Exigences)</t>
        </is>
      </c>
    </row>
    <row r="47">
      <c r="A47" s="5" t="inlineStr">
        <is>
          <t>Phase 1 — Indispensable</t>
        </is>
      </c>
      <c r="B47" s="6">
        <f>COUNTIFS(Exigences!$E$3:$E$200,"Indispensable",Exigences!$G$3:$G$200,"1")</f>
        <v/>
      </c>
    </row>
    <row r="48">
      <c r="A48" s="5" t="inlineStr">
        <is>
          <t>Phase 1 — Important</t>
        </is>
      </c>
      <c r="B48" s="6">
        <f>COUNTIFS(Exigences!$E$3:$E$200,"Important",Exigences!$G$3:$G$200,"1")</f>
        <v/>
      </c>
    </row>
    <row r="49">
      <c r="A49" s="5" t="inlineStr">
        <is>
          <t>Phase 1 — Souhaitable</t>
        </is>
      </c>
      <c r="B49" s="6">
        <f>COUNTIFS(Exigences!$E$3:$E$200,"Souhaitable",Exigences!$G$3:$G$200,"1")</f>
        <v/>
      </c>
    </row>
    <row r="50">
      <c r="A50" s="5" t="inlineStr">
        <is>
          <t>Phase 1 — total</t>
        </is>
      </c>
      <c r="B50" s="6">
        <f>COUNTIF(Exigences!$G$3:$G$200,"1")</f>
        <v/>
      </c>
    </row>
    <row r="51">
      <c r="A51" s="5" t="inlineStr">
        <is>
          <t>Phase 2 — reporté</t>
        </is>
      </c>
      <c r="B51" s="6">
        <f>COUNTIF(Exigences!$G$3:$G$200,"2")</f>
        <v/>
      </c>
    </row>
    <row r="52">
      <c r="A52" s="5" t="inlineStr">
        <is>
          <t>Total décrit</t>
        </is>
      </c>
      <c r="B52"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5"/>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portrait, téléphone posé sur le pupitre.</t>
        </is>
      </c>
      <c r="D6" s="16" t="inlineStr">
        <is>
          <t>Portrait verrouillé. Pas d'iPad ni de paysage.</t>
        </is>
      </c>
      <c r="E6" s="17" t="inlineStr">
        <is>
          <t>Important</t>
        </is>
      </c>
      <c r="F6" s="16" t="inlineStr">
        <is>
          <t>portrait</t>
        </is>
      </c>
      <c r="G6" s="13" t="inlineStr">
        <is>
          <t>1</t>
        </is>
      </c>
      <c r="H6" s="14" t="n"/>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clic, volume, marche/arrêt. Derrière un bouton d'engrenage : clavier, alignement, tolérance, effacement des statistiques. La feuille de réglages est une feuille modale standard, refermable d'un geste.</t>
        </is>
      </c>
      <c r="E16" s="12" t="inlineStr">
        <is>
          <t>Indispensable</t>
        </is>
      </c>
      <c r="F16" s="16" t="inlineStr">
        <is>
          <t>—</t>
        </is>
      </c>
      <c r="G16" s="13" t="inlineStr">
        <is>
          <t>1</t>
        </is>
      </c>
      <c r="H16" s="14" t="n"/>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t>
        </is>
      </c>
      <c r="E24" s="17" t="inlineStr">
        <is>
          <t>Important</t>
        </is>
      </c>
      <c r="F24" s="16" t="inlineStr">
        <is>
          <t>—</t>
        </is>
      </c>
      <c r="G24" s="18" t="inlineStr">
        <is>
          <t>2</t>
        </is>
      </c>
      <c r="H24" s="14" t="n"/>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canal MIDI.</t>
        </is>
      </c>
      <c r="D27" s="11" t="inlineStr">
        <is>
          <t>Choix « tous » ou 1 à 16.</t>
        </is>
      </c>
      <c r="E27" s="19" t="inlineStr">
        <is>
          <t>Souhaitable</t>
        </is>
      </c>
      <c r="F27" s="11" t="inlineStr">
        <is>
          <t>Tous</t>
        </is>
      </c>
      <c r="G27" s="18" t="inlineStr">
        <is>
          <t>2</t>
        </is>
      </c>
      <c r="H27" s="14" t="n"/>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peux corriger cet alignement à la main.</t>
        </is>
      </c>
      <c r="D34" s="16" t="inlineStr">
        <is>
          <t>Curseur de ±60 ms au pas de 1 ms, s'ajoutant à la compensation automatique.</t>
        </is>
      </c>
      <c r="E34" s="17" t="inlineStr">
        <is>
          <t>Important</t>
        </is>
      </c>
      <c r="F34" s="16" t="inlineStr">
        <is>
          <t>0 ms</t>
        </is>
      </c>
      <c r="G34" s="13" t="inlineStr">
        <is>
          <t>1</t>
        </is>
      </c>
      <c r="H34" s="14" t="n"/>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on ne calibre pas sur sa propre perception, puisqu'on anticipe naturellement de 10 à 20 ms.</t>
        </is>
      </c>
      <c r="E35" s="17" t="inlineStr">
        <is>
          <t>Important</t>
        </is>
      </c>
      <c r="F35" s="11" t="inlineStr">
        <is>
          <t>—</t>
        </is>
      </c>
      <c r="G35" s="13" t="inlineStr">
        <is>
          <t>1</t>
        </is>
      </c>
      <c r="H35" s="14" t="n"/>
    </row>
    <row r="36" ht="27.75" customHeight="1">
      <c r="A36" s="15" t="inlineStr">
        <is>
          <t>EX-036</t>
        </is>
      </c>
      <c r="B36" s="16" t="inlineStr">
        <is>
          <t>Mesure</t>
        </is>
      </c>
      <c r="C36" s="16" t="inlineStr">
        <is>
          <t>Les notes d'un même accord ne doivent pas compter comme plusieurs erreurs.</t>
        </is>
      </c>
      <c r="D36" s="16" t="inlineStr">
        <is>
          <t>Regroupement dans une fenêtre courte, daté sur la première note.</t>
        </is>
      </c>
      <c r="E36" s="17" t="inlineStr">
        <is>
          <t>Important</t>
        </is>
      </c>
      <c r="F36" s="16" t="inlineStr">
        <is>
          <t>30 ms</t>
        </is>
      </c>
      <c r="G36" s="18" t="inlineStr">
        <is>
          <t>2</t>
        </is>
      </c>
      <c r="H36" s="14" t="n"/>
    </row>
    <row r="37" ht="27.75" customHeight="1">
      <c r="A37" s="10" t="inlineStr">
        <is>
          <t>EX-037</t>
        </is>
      </c>
      <c r="B37" s="11" t="inlineStr">
        <is>
          <t>Mesure</t>
        </is>
      </c>
      <c r="C37" s="11" t="inlineStr">
        <is>
          <t>Pour un accord, je veux savoir s'il est « ensemble ».</t>
        </is>
      </c>
      <c r="D37" s="11" t="inlineStr">
        <is>
          <t>Affichage de l'étalement du groupe.</t>
        </is>
      </c>
      <c r="E37" s="19" t="inlineStr">
        <is>
          <t>Souhaitable</t>
        </is>
      </c>
      <c r="F37" s="11" t="inlineStr">
        <is>
          <t>—</t>
        </is>
      </c>
      <c r="G37" s="18" t="inlineStr">
        <is>
          <t>2</t>
        </is>
      </c>
      <c r="H37" s="14" t="n"/>
    </row>
    <row r="38" ht="27.75" customHeight="1">
      <c r="A38" s="15" t="inlineStr">
        <is>
          <t>EX-040</t>
        </is>
      </c>
      <c r="B38" s="16" t="inlineStr">
        <is>
          <t>Métronome</t>
        </is>
      </c>
      <c r="C38" s="16" t="inlineStr">
        <is>
          <t>Tempo réglable sur toute la plage de travail utile.</t>
        </is>
      </c>
      <c r="D38" s="16" t="inlineStr">
        <is>
          <t>De 30 à 240 à la noire, au pas de 1, réglable au bouton comme au curseur.</t>
        </is>
      </c>
      <c r="E38" s="12" t="inlineStr">
        <is>
          <t>Indispensable</t>
        </is>
      </c>
      <c r="F38" s="16" t="inlineStr">
        <is>
          <t>80 bpm</t>
        </is>
      </c>
      <c r="G38" s="13" t="inlineStr">
        <is>
          <t>1</t>
        </is>
      </c>
      <c r="H38" s="14" t="n"/>
    </row>
    <row r="39" ht="27.75" customHeight="1">
      <c r="A39" s="10" t="inlineStr">
        <is>
          <t>EX-043</t>
        </is>
      </c>
      <c r="B39" s="11" t="inlineStr">
        <is>
          <t>Métronome</t>
        </is>
      </c>
      <c r="C39" s="11" t="inlineStr">
        <is>
          <t>Le clic peut être coupé, et son volume réglé indépendamment du volume système.</t>
        </is>
      </c>
      <c r="D39" s="11" t="inlineStr">
        <is>
          <t>Interrupteur et curseur sur l'écran de mesure.</t>
        </is>
      </c>
      <c r="E39" s="12" t="inlineStr">
        <is>
          <t>Indispensable</t>
        </is>
      </c>
      <c r="F39" s="11" t="inlineStr">
        <is>
          <t>activé, 50 %</t>
        </is>
      </c>
      <c r="G39" s="13" t="inlineStr">
        <is>
          <t>1</t>
        </is>
      </c>
      <c r="H39" s="14" t="n"/>
    </row>
    <row r="40" ht="27.75" customHeight="1">
      <c r="A40" s="15" t="inlineStr">
        <is>
          <t>EX-047</t>
        </is>
      </c>
      <c r="B40" s="16" t="inlineStr">
        <is>
          <t>Métronome</t>
        </is>
      </c>
      <c r="C40" s="16" t="inlineStr">
        <is>
          <t>Le métronome doit être stable dans la durée.</t>
        </is>
      </c>
      <c r="D40" s="16" t="inlineStr">
        <is>
          <t>Cadencé sur l'horloge audio, pas sur un timer système. Dérive inférieure à 1 ms sur 10 minutes.</t>
        </is>
      </c>
      <c r="E40" s="12" t="inlineStr">
        <is>
          <t>Indispensable</t>
        </is>
      </c>
      <c r="F40" s="16" t="inlineStr">
        <is>
          <t>—</t>
        </is>
      </c>
      <c r="G40" s="13" t="inlineStr">
        <is>
          <t>1</t>
        </is>
      </c>
      <c r="H40" s="14" t="n"/>
    </row>
    <row r="41" ht="27.75" customHeight="1">
      <c r="A41" s="10" t="inlineStr">
        <is>
          <t>EX-048</t>
        </is>
      </c>
      <c r="B41" s="11" t="inlineStr">
        <is>
          <t>Métronome</t>
        </is>
      </c>
      <c r="C41" s="11" t="inlineStr">
        <is>
          <t>Je peux changer le tempo en pleine séance sans tout arrêter.</t>
        </is>
      </c>
      <c r="D41" s="11" t="inlineStr">
        <is>
          <t>La grille se réancre proprement, sans note faussement comptée à la transition.</t>
        </is>
      </c>
      <c r="E41" s="17" t="inlineStr">
        <is>
          <t>Important</t>
        </is>
      </c>
      <c r="F41" s="11" t="inlineStr">
        <is>
          <t>—</t>
        </is>
      </c>
      <c r="G41" s="13" t="inlineStr">
        <is>
          <t>1</t>
        </is>
      </c>
      <c r="H41" s="14" t="n"/>
    </row>
    <row r="42" ht="27.75" customHeight="1">
      <c r="A42" s="15" t="inlineStr">
        <is>
          <t>EX-052</t>
        </is>
      </c>
      <c r="B42" s="16" t="inlineStr">
        <is>
          <t>Métronome</t>
        </is>
      </c>
      <c r="C42" s="16" t="inlineStr">
        <is>
          <t>Je veux vérifier que la sortie audio fonctionne sans lancer une séance.</t>
        </is>
      </c>
      <c r="D42" s="16" t="inlineStr">
        <is>
          <t>Bouton produisant un clic isolé. Toute erreur de la chaîne audio est affichée, jamais avalée en silence.</t>
        </is>
      </c>
      <c r="E42" s="17" t="inlineStr">
        <is>
          <t>Important</t>
        </is>
      </c>
      <c r="F42" s="16" t="inlineStr">
        <is>
          <t>—</t>
        </is>
      </c>
      <c r="G42" s="13" t="inlineStr">
        <is>
          <t>1</t>
        </is>
      </c>
      <c r="H42" s="14" t="n"/>
    </row>
    <row r="43" ht="27.75" customHeight="1">
      <c r="A43" s="10" t="inlineStr">
        <is>
          <t>EX-041</t>
        </is>
      </c>
      <c r="B43" s="11" t="inlineStr">
        <is>
          <t>Métronome</t>
        </is>
      </c>
      <c r="C43" s="11" t="inlineStr">
        <is>
          <t>Je choisis la finesse de la grille sur laquelle mes notes sont jugées.</t>
        </is>
      </c>
      <c r="D43" s="11" t="inlineStr">
        <is>
          <t>Noires, croches, triolets, doubles-croches.</t>
        </is>
      </c>
      <c r="E43" s="17" t="inlineStr">
        <is>
          <t>Important</t>
        </is>
      </c>
      <c r="F43" s="11" t="inlineStr">
        <is>
          <t>Noires</t>
        </is>
      </c>
      <c r="G43" s="18" t="inlineStr">
        <is>
          <t>2</t>
        </is>
      </c>
      <c r="H43" s="14" t="n"/>
    </row>
    <row r="44" ht="27.75" customHeight="1">
      <c r="A44" s="15" t="inlineStr">
        <is>
          <t>EX-042</t>
        </is>
      </c>
      <c r="B44" s="16" t="inlineStr">
        <is>
          <t>Métronome</t>
        </is>
      </c>
      <c r="C44" s="16" t="inlineStr">
        <is>
          <t>Je règle le nombre de temps par mesure, avec accent sur le premier.</t>
        </is>
      </c>
      <c r="D44" s="16" t="inlineStr">
        <is>
          <t>De 2 à 12 temps, ou aucun accent.</t>
        </is>
      </c>
      <c r="E44" s="17" t="inlineStr">
        <is>
          <t>Important</t>
        </is>
      </c>
      <c r="F44" s="16" t="inlineStr">
        <is>
          <t>4</t>
        </is>
      </c>
      <c r="G44" s="18" t="inlineStr">
        <is>
          <t>2</t>
        </is>
      </c>
      <c r="H44" s="14" t="n"/>
    </row>
    <row r="45" ht="27.75" customHeight="1">
      <c r="A45" s="10" t="inlineStr">
        <is>
          <t>EX-044</t>
        </is>
      </c>
      <c r="B45" s="11" t="inlineStr">
        <is>
          <t>Métronome</t>
        </is>
      </c>
      <c r="C45" s="11" t="inlineStr">
        <is>
          <t>Les subdivisions peuvent être cliquées ou rester silencieuses.</t>
        </is>
      </c>
      <c r="D45" s="11" t="inlineStr">
        <is>
          <t>Interrupteur séparé.</t>
        </is>
      </c>
      <c r="E45" s="19" t="inlineStr">
        <is>
          <t>Souhaitable</t>
        </is>
      </c>
      <c r="F45" s="11" t="inlineStr">
        <is>
          <t>désactivé</t>
        </is>
      </c>
      <c r="G45" s="18" t="n">
        <v>3</v>
      </c>
      <c r="H45" s="14" t="n"/>
    </row>
    <row r="46" ht="27.75" customHeight="1">
      <c r="A46" s="15" t="inlineStr">
        <is>
          <t>EX-049</t>
        </is>
      </c>
      <c r="B46" s="16" t="inlineStr">
        <is>
          <t>Métronome</t>
        </is>
      </c>
      <c r="C46" s="16" t="inlineStr">
        <is>
          <t>Un décompte avant que la mesure ne commence.</t>
        </is>
      </c>
      <c r="D46" s="16" t="inlineStr">
        <is>
          <t>Une mesure à vide, notes non comptabilisées.</t>
        </is>
      </c>
      <c r="E46" s="19" t="inlineStr">
        <is>
          <t>Souhaitable</t>
        </is>
      </c>
      <c r="F46" s="16" t="inlineStr">
        <is>
          <t>1 mesure</t>
        </is>
      </c>
      <c r="G46" s="18" t="n">
        <v>3</v>
      </c>
      <c r="H46" s="14" t="n"/>
    </row>
    <row r="47" ht="27.75" customHeight="1">
      <c r="A47" s="10" t="inlineStr">
        <is>
          <t>EX-050</t>
        </is>
      </c>
      <c r="B47" s="11" t="inlineStr">
        <is>
          <t>Métronome</t>
        </is>
      </c>
      <c r="C47" s="11" t="inlineStr">
        <is>
          <t>Une notification ou un appel ne doit pas casser la séance silencieusement.</t>
        </is>
      </c>
      <c r="D47" s="11" t="inlineStr">
        <is>
          <t>Interruptions audio gérées ; reprise ou arrêt signalé.</t>
        </is>
      </c>
      <c r="E47" s="17" t="inlineStr">
        <is>
          <t>Important</t>
        </is>
      </c>
      <c r="F47" s="11" t="inlineStr">
        <is>
          <t>—</t>
        </is>
      </c>
      <c r="G47" s="18" t="inlineStr">
        <is>
          <t>2</t>
        </is>
      </c>
      <c r="H47" s="14" t="n"/>
    </row>
    <row r="48" ht="27.75" customHeight="1">
      <c r="A48" s="23" t="inlineStr">
        <is>
          <t>EX-051</t>
        </is>
      </c>
      <c r="B48" s="24" t="inlineStr">
        <is>
          <t>Métronome</t>
        </is>
      </c>
      <c r="C48" s="24" t="inlineStr">
        <is>
          <t>Je veux choisir le son du clic parmi plusieurs timbres.</t>
        </is>
      </c>
      <c r="D48" s="24" t="inlineStr">
        <is>
          <t>Cinq timbres inspirés du kit de percussions General MIDI, avec écoute au changement.</t>
        </is>
      </c>
      <c r="E48" s="25" t="inlineStr">
        <is>
          <t>Souhaitable</t>
        </is>
      </c>
      <c r="F48" s="24" t="inlineStr">
        <is>
          <t>Claves</t>
        </is>
      </c>
      <c r="G48" s="26" t="inlineStr">
        <is>
          <t>2</t>
        </is>
      </c>
      <c r="H48" s="27" t="n"/>
    </row>
    <row r="49" ht="57" customHeight="1">
      <c r="A49" s="33" t="inlineStr">
        <is>
          <t>EX-053</t>
        </is>
      </c>
      <c r="B49" s="33" t="inlineStr">
        <is>
          <t>Métronome</t>
        </is>
      </c>
      <c r="C49" s="33" t="inlineStr">
        <is>
          <t>Je veux que le métronome démarre sur le Start de la boîte à rythmes de mon clavier.</t>
        </is>
      </c>
      <c r="D49"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9" s="34" t="inlineStr">
        <is>
          <t>Important</t>
        </is>
      </c>
      <c r="F49" s="33" t="inlineStr">
        <is>
          <t>désactivé</t>
        </is>
      </c>
      <c r="G49" s="38" t="inlineStr">
        <is>
          <t>3</t>
        </is>
      </c>
      <c r="H49" s="35" t="inlineStr">
        <is>
          <t>sert surtout à régler l'alignement à l'oreille contre une référence matérielle</t>
        </is>
      </c>
    </row>
    <row r="50" ht="57" customHeight="1">
      <c r="A50" s="33" t="inlineStr">
        <is>
          <t>EX-054</t>
        </is>
      </c>
      <c r="B50" s="33" t="inlineStr">
        <is>
          <t>Métronome</t>
        </is>
      </c>
      <c r="C50" s="33" t="inlineStr">
        <is>
          <t>Quand je suis synchronisé, je veux que le tempo suive celui du clavier et ne dérive pas.</t>
        </is>
      </c>
      <c r="D50" s="33" t="inlineStr">
        <is>
          <t>Suivi de l'horloge MIDI (24 impulsions par noire). Période lissée et phase corrigée par un décalage d'ancrage borné, sans rupture de grille. Le tempo reçu est affiché à la place du tempo réglé, qui ne fait plus foi. S'active et se désactive avec EX-053 : un seul réglage « Démarrage synchronisé » commande les deux, il n'y a jamais de cas où l'un est utile sans l'autre.</t>
        </is>
      </c>
      <c r="E50" s="36" t="inlineStr">
        <is>
          <t>Souhaitable</t>
        </is>
      </c>
      <c r="F50" s="33" t="inlineStr">
        <is>
          <t>suit EX-053</t>
        </is>
      </c>
      <c r="G50" s="38" t="inlineStr">
        <is>
          <t>3</t>
        </is>
      </c>
      <c r="H50" s="35" t="inlineStr">
        <is>
          <t>sans lui, Start donne le départ mais pas le tempo : la dérive est inévitable — fusionné avec EX-053 le 27/07/2026, l'usage a confirmé qu'ils ne se séparent jamais</t>
        </is>
      </c>
    </row>
    <row r="51" ht="27.75" customHeight="1">
      <c r="A51" s="28" t="inlineStr">
        <is>
          <t>EX-060</t>
        </is>
      </c>
      <c r="B51" s="29" t="inlineStr">
        <is>
          <t>Visualisation</t>
        </is>
      </c>
      <c r="C51" s="29" t="inlineStr">
        <is>
          <t>Une ligne verticale centrale représente le battement, en permanence.</t>
        </is>
      </c>
      <c r="D51" s="29" t="inlineStr">
        <is>
          <t>Ligne continue traversant toute la zone de mesure.</t>
        </is>
      </c>
      <c r="E51" s="30" t="inlineStr">
        <is>
          <t>Indispensable</t>
        </is>
      </c>
      <c r="F51" s="29" t="inlineStr">
        <is>
          <t>—</t>
        </is>
      </c>
      <c r="G51" s="31" t="inlineStr">
        <is>
          <t>1</t>
        </is>
      </c>
      <c r="H51" s="32" t="n"/>
    </row>
    <row r="52" ht="27.75" customHeight="1">
      <c r="A52" s="15" t="inlineStr">
        <is>
          <t>EX-061</t>
        </is>
      </c>
      <c r="B52" s="16" t="inlineStr">
        <is>
          <t>Visualisation</t>
        </is>
      </c>
      <c r="C52" s="16" t="inlineStr">
        <is>
          <t>Le temps défile verticalement : les notes apparaissent en haut et descendent.</t>
        </is>
      </c>
      <c r="D52" s="16" t="inlineStr">
        <is>
          <t>Vitesse constante, environ 6 secondes d'historique visible.</t>
        </is>
      </c>
      <c r="E52" s="12" t="inlineStr">
        <is>
          <t>Indispensable</t>
        </is>
      </c>
      <c r="F52" s="16" t="inlineStr">
        <is>
          <t>6 s</t>
        </is>
      </c>
      <c r="G52" s="13" t="inlineStr">
        <is>
          <t>1</t>
        </is>
      </c>
      <c r="H52" s="14" t="n"/>
    </row>
    <row r="53" ht="27.75" customHeight="1">
      <c r="A53" s="10" t="inlineStr">
        <is>
          <t>EX-062</t>
        </is>
      </c>
      <c r="B53" s="11" t="inlineStr">
        <is>
          <t>Visualisation</t>
        </is>
      </c>
      <c r="C53" s="11" t="inlineStr">
        <is>
          <t>Chaque note est placée horizontalement en proportion de son écart.</t>
        </is>
      </c>
      <c r="D53" s="11" t="inlineStr">
        <is>
          <t>Position proportionnelle, saturée aux bords plutôt que masquée.</t>
        </is>
      </c>
      <c r="E53" s="12" t="inlineStr">
        <is>
          <t>Indispensable</t>
        </is>
      </c>
      <c r="F53" s="11" t="inlineStr">
        <is>
          <t>—</t>
        </is>
      </c>
      <c r="G53" s="13" t="inlineStr">
        <is>
          <t>1</t>
        </is>
      </c>
      <c r="H53" s="14" t="n"/>
    </row>
    <row r="54" ht="27.75" customHeight="1">
      <c r="A54" s="15" t="inlineStr">
        <is>
          <t>EX-063</t>
        </is>
      </c>
      <c r="B54" s="16" t="inlineStr">
        <is>
          <t>Visualisation</t>
        </is>
      </c>
      <c r="C54" s="16" t="inlineStr">
        <is>
          <t>Une bande matérialise la zone que je considère comme « dans le temps ».</t>
        </is>
      </c>
      <c r="D54" s="16" t="inlineStr">
        <is>
          <t>Largeur réglable, visible en permanence de part et d'autre de la ligne.</t>
        </is>
      </c>
      <c r="E54" s="12" t="inlineStr">
        <is>
          <t>Indispensable</t>
        </is>
      </c>
      <c r="F54" s="16" t="inlineStr">
        <is>
          <t>± 20 ms</t>
        </is>
      </c>
      <c r="G54" s="13" t="inlineStr">
        <is>
          <t>1</t>
        </is>
      </c>
      <c r="H54" s="14" t="n"/>
    </row>
    <row r="55" ht="27.75" customHeight="1">
      <c r="A55" s="10" t="inlineStr">
        <is>
          <t>EX-066</t>
        </is>
      </c>
      <c r="B55" s="11" t="inlineStr">
        <is>
          <t>Visualisation</t>
        </is>
      </c>
      <c r="C55" s="11" t="inlineStr">
        <is>
          <t>Un affichage instantané en gros caractères donne l'écart de la dernière note.</t>
        </is>
      </c>
      <c r="D55" s="11" t="inlineStr">
        <is>
          <t>Valeur en millisecondes plus un mot. Lisible à un mètre depuis le pupitre.</t>
        </is>
      </c>
      <c r="E55" s="12" t="inlineStr">
        <is>
          <t>Indispensable</t>
        </is>
      </c>
      <c r="F55" s="11" t="inlineStr">
        <is>
          <t>—</t>
        </is>
      </c>
      <c r="G55" s="13" t="inlineStr">
        <is>
          <t>1</t>
        </is>
      </c>
      <c r="H55" s="14" t="n"/>
    </row>
    <row r="56" ht="34.5" customHeight="1">
      <c r="A56" s="15" t="inlineStr">
        <is>
          <t>EX-068</t>
        </is>
      </c>
      <c r="B56" s="16" t="inlineStr">
        <is>
          <t>Visualisation</t>
        </is>
      </c>
      <c r="C56" s="16" t="inlineStr">
        <is>
          <t>Les temps du métronome défilent aussi, pour situer chaque note.</t>
        </is>
      </c>
      <c r="D56" s="16" t="inlineStr">
        <is>
          <t>Repère horizontal à chaque temps.</t>
        </is>
      </c>
      <c r="E56" s="17" t="inlineStr">
        <is>
          <t>Important</t>
        </is>
      </c>
      <c r="F56" s="16" t="inlineStr">
        <is>
          <t>—</t>
        </is>
      </c>
      <c r="G56" s="13" t="inlineStr">
        <is>
          <t>1</t>
        </is>
      </c>
      <c r="H56" s="14" t="n"/>
    </row>
    <row r="57" ht="27.75" customHeight="1">
      <c r="A57" s="10" t="inlineStr">
        <is>
          <t>EX-069</t>
        </is>
      </c>
      <c r="B57" s="11" t="inlineStr">
        <is>
          <t>Visualisation</t>
        </is>
      </c>
      <c r="C57" s="11" t="inlineStr">
        <is>
          <t>Le défilement doit être parfaitement fluide, sinon je ne peux pas m'y fier.</t>
        </is>
      </c>
      <c r="D57" s="11" t="inlineStr">
        <is>
          <t>Suit le rafraîchissement de l'écran, sans saccade sur une séance de 45 minutes.</t>
        </is>
      </c>
      <c r="E57" s="12" t="inlineStr">
        <is>
          <t>Indispensable</t>
        </is>
      </c>
      <c r="F57" s="11" t="inlineStr">
        <is>
          <t>60 / 120 fps</t>
        </is>
      </c>
      <c r="G57" s="13" t="inlineStr">
        <is>
          <t>1</t>
        </is>
      </c>
      <c r="H57" s="14" t="n"/>
    </row>
    <row r="58" ht="27.75" customHeight="1">
      <c r="A58" s="15" t="inlineStr">
        <is>
          <t>EX-072</t>
        </is>
      </c>
      <c r="B58" s="16" t="inlineStr">
        <is>
          <t>Visualisation</t>
        </is>
      </c>
      <c r="C58" s="16" t="inlineStr">
        <is>
          <t>Je veux un mode où je ne vois que la mesure, sans réglages ni statistiques.</t>
        </is>
      </c>
      <c r="D58" s="16" t="inlineStr">
        <is>
          <t>Un appui sur la zone de mesure masque tout le reste, barre d'état comprise. Même vue de mesure dans les deux modes, jamais une seconde implémentation.</t>
        </is>
      </c>
      <c r="E58" s="12" t="inlineStr">
        <is>
          <t>Indispensable</t>
        </is>
      </c>
      <c r="F58" s="16" t="inlineStr">
        <is>
          <t>—</t>
        </is>
      </c>
      <c r="G58" s="13" t="inlineStr">
        <is>
          <t>1</t>
        </is>
      </c>
      <c r="H58" s="14" t="n"/>
    </row>
    <row r="59" ht="27.75" customHeight="1">
      <c r="A59" s="10" t="inlineStr">
        <is>
          <t>EX-065</t>
        </is>
      </c>
      <c r="B59" s="11" t="inlineStr">
        <is>
          <t>Visualisation</t>
        </is>
      </c>
      <c r="C59" s="11" t="inlineStr">
        <is>
          <t>La force de frappe est visible sur le graphe.</t>
        </is>
      </c>
      <c r="D59" s="11" t="inlineStr">
        <is>
          <t>Taille du repère proportionnelle à la vélocité.</t>
        </is>
      </c>
      <c r="E59" s="19" t="inlineStr">
        <is>
          <t>Souhaitable</t>
        </is>
      </c>
      <c r="F59" s="11" t="inlineStr">
        <is>
          <t>—</t>
        </is>
      </c>
      <c r="G59" s="18" t="n">
        <v>3</v>
      </c>
      <c r="H59" s="14" t="n"/>
    </row>
    <row r="60" ht="27.75" customHeight="1">
      <c r="A60" s="15" t="inlineStr">
        <is>
          <t>EX-067</t>
        </is>
      </c>
      <c r="B60" s="16" t="inlineStr">
        <is>
          <t>Visualisation</t>
        </is>
      </c>
      <c r="C60" s="16" t="inlineStr">
        <is>
          <t>Je règle l'échelle horizontale selon mon niveau du jour.</t>
        </is>
      </c>
      <c r="D60" s="16" t="inlineStr">
        <is>
          <t>De ±40 ms à ±300 ms.</t>
        </is>
      </c>
      <c r="E60" s="19" t="inlineStr">
        <is>
          <t>Souhaitable</t>
        </is>
      </c>
      <c r="F60" s="16" t="inlineStr">
        <is>
          <t>± 120 ms</t>
        </is>
      </c>
      <c r="G60" s="18" t="inlineStr">
        <is>
          <t>2</t>
        </is>
      </c>
      <c r="H60" s="14" t="n"/>
    </row>
    <row r="61" ht="27.75" customHeight="1">
      <c r="A61" s="10" t="inlineStr">
        <is>
          <t>EX-071</t>
        </is>
      </c>
      <c r="B61" s="11" t="inlineStr">
        <is>
          <t>Visualisation</t>
        </is>
      </c>
      <c r="C61" s="11" t="inlineStr">
        <is>
          <t>Je veux voir ma tendance sur le graphe, pas seulement en chiffre.</t>
        </is>
      </c>
      <c r="D61" s="11" t="inlineStr">
        <is>
          <t>Repère à la position de la moyenne glissante.</t>
        </is>
      </c>
      <c r="E61" s="19" t="inlineStr">
        <is>
          <t>Souhaitable</t>
        </is>
      </c>
      <c r="F61" s="11" t="inlineStr">
        <is>
          <t>—</t>
        </is>
      </c>
      <c r="G61" s="18" t="n">
        <v>3</v>
      </c>
      <c r="H61" s="14" t="n"/>
    </row>
    <row r="62" ht="57" customHeight="1">
      <c r="A62" s="15" t="inlineStr">
        <is>
          <t>EX-080</t>
        </is>
      </c>
      <c r="B62" s="16" t="inlineStr">
        <is>
          <t>Statistiques</t>
        </is>
      </c>
      <c r="C62" s="16" t="inlineStr">
        <is>
          <t>Je veux savoir combien de notes ont été mesurées.</t>
        </is>
      </c>
      <c r="D62" s="16" t="inlineStr">
        <is>
          <t>Compteur visible en permanence.</t>
        </is>
      </c>
      <c r="E62" s="12" t="inlineStr">
        <is>
          <t>Indispensable</t>
        </is>
      </c>
      <c r="F62" s="16" t="inlineStr">
        <is>
          <t>—</t>
        </is>
      </c>
      <c r="G62" s="13" t="inlineStr">
        <is>
          <t>1</t>
        </is>
      </c>
      <c r="H62" s="14" t="n"/>
    </row>
    <row r="63" ht="27.75" customHeight="1">
      <c r="A63" s="10" t="inlineStr">
        <is>
          <t>EX-081</t>
        </is>
      </c>
      <c r="B63" s="11" t="inlineStr">
        <is>
          <t>Statistiques</t>
        </is>
      </c>
      <c r="C63" s="11" t="inlineStr">
        <is>
          <t>Je veux connaître mon biais : est-ce que je traîne ou est-ce que je précipite ?</t>
        </is>
      </c>
      <c r="D63" s="11" t="inlineStr">
        <is>
          <t>Écart moyen signé, en millisecondes avec une décimale, unité affichée à côté de la valeur.</t>
        </is>
      </c>
      <c r="E63" s="12" t="inlineStr">
        <is>
          <t>Indispensable</t>
        </is>
      </c>
      <c r="F63" s="11" t="inlineStr">
        <is>
          <t>—</t>
        </is>
      </c>
      <c r="G63" s="13" t="inlineStr">
        <is>
          <t>1</t>
        </is>
      </c>
      <c r="H63" s="14" t="n"/>
    </row>
    <row r="64" ht="27.75" customHeight="1">
      <c r="A64" s="15" t="inlineStr">
        <is>
          <t>EX-082</t>
        </is>
      </c>
      <c r="B64" s="16" t="inlineStr">
        <is>
          <t>Statistiques</t>
        </is>
      </c>
      <c r="C64" s="16" t="inlineStr">
        <is>
          <t>Je veux connaître ma régularité, et savoir d'un coup d'œil si elle est acceptable.</t>
        </is>
      </c>
      <c r="D64" s="16" t="inlineStr">
        <is>
          <t>Écart-type en millisecondes, doublé du pourcentage de l'intervalle pour être comparable d'un tempo à l'autre. Couleur de validation tant que la dispersion reste acceptable, couleur d'alerte au-delà : seuil au plus permissif entre 5 % de l'intervalle et 15 ms.</t>
        </is>
      </c>
      <c r="E64" s="12" t="inlineStr">
        <is>
          <t>Indispensable</t>
        </is>
      </c>
      <c r="F64" s="16" t="inlineStr">
        <is>
          <t>5 % ou 15 ms</t>
        </is>
      </c>
      <c r="G64" s="13" t="inlineStr">
        <is>
          <t>1</t>
        </is>
      </c>
      <c r="H64" s="14" t="n"/>
    </row>
    <row r="65" ht="27.75" customHeight="1">
      <c r="A65" s="10" t="inlineStr">
        <is>
          <t>EX-083</t>
        </is>
      </c>
      <c r="B65" s="11" t="inlineStr">
        <is>
          <t>Statistiques</t>
        </is>
      </c>
      <c r="C65" s="11" t="inlineStr">
        <is>
          <t>Je veux la proportion de notes tombées dans ma zone de tolérance.</t>
        </is>
      </c>
      <c r="D65" s="11" t="inlineStr">
        <is>
          <t>Pourcentage entier, recalculé si la tolérance change.</t>
        </is>
      </c>
      <c r="E65" s="12" t="inlineStr">
        <is>
          <t>Indispensable</t>
        </is>
      </c>
      <c r="F65" s="11" t="inlineStr">
        <is>
          <t>—</t>
        </is>
      </c>
      <c r="G65" s="13" t="inlineStr">
        <is>
          <t>1</t>
        </is>
      </c>
      <c r="H65" s="14" t="n"/>
    </row>
    <row r="66" ht="27.75" customHeight="1">
      <c r="A66" s="15" t="inlineStr">
        <is>
          <t>EX-085</t>
        </is>
      </c>
      <c r="B66" s="16" t="inlineStr">
        <is>
          <t>Statistiques</t>
        </is>
      </c>
      <c r="C66" s="16" t="inlineStr">
        <is>
          <t>Je remets les compteurs à zéro d'un seul geste.</t>
        </is>
      </c>
      <c r="D66" s="16" t="inlineStr">
        <is>
          <t>Action dans les réglages, avec confirmation. Le métronome n'est pas arrêté.</t>
        </is>
      </c>
      <c r="E66" s="12" t="inlineStr">
        <is>
          <t>Indispensable</t>
        </is>
      </c>
      <c r="F66" s="16" t="inlineStr">
        <is>
          <t>—</t>
        </is>
      </c>
      <c r="G66" s="13" t="inlineStr">
        <is>
          <t>1</t>
        </is>
      </c>
      <c r="H66" s="14" t="n"/>
    </row>
    <row r="67" ht="27.75" customHeight="1">
      <c r="A67" s="10" t="inlineStr">
        <is>
          <t>EX-084</t>
        </is>
      </c>
      <c r="B67" s="11" t="inlineStr">
        <is>
          <t>Statistiques</t>
        </is>
      </c>
      <c r="C67" s="11" t="inlineStr">
        <is>
          <t>Les statistiques ne doivent pas rester plombées par mes premières notes.</t>
        </is>
      </c>
      <c r="D67" s="11" t="inlineStr">
        <is>
          <t>Fenêtre glissante sur les N dernières notes, N réglable.</t>
        </is>
      </c>
      <c r="E67" s="17" t="inlineStr">
        <is>
          <t>Important</t>
        </is>
      </c>
      <c r="F67" s="11" t="inlineStr">
        <is>
          <t>200 notes</t>
        </is>
      </c>
      <c r="G67" s="18" t="inlineStr">
        <is>
          <t>2</t>
        </is>
      </c>
      <c r="H67" s="14" t="n"/>
    </row>
    <row r="68" ht="27.75" customHeight="1">
      <c r="A68" s="15" t="inlineStr">
        <is>
          <t>EX-089</t>
        </is>
      </c>
      <c r="B68" s="16" t="inlineStr">
        <is>
          <t>Statistiques</t>
        </is>
      </c>
      <c r="C68" s="16" t="inlineStr">
        <is>
          <t>Je veux un retour immédiat sur mes toutes dernières notes.</t>
        </is>
      </c>
      <c r="D68" s="16" t="inlineStr">
        <is>
          <t>Moyenne glissante des X dernières notes, X réglable de 4 à 32.</t>
        </is>
      </c>
      <c r="E68" s="17" t="inlineStr">
        <is>
          <t>Important</t>
        </is>
      </c>
      <c r="F68" s="16" t="inlineStr">
        <is>
          <t>8 notes</t>
        </is>
      </c>
      <c r="G68" s="18" t="n">
        <v>3</v>
      </c>
      <c r="H68" s="14" t="n"/>
    </row>
    <row r="69" ht="27.75" customHeight="1">
      <c r="A69" s="10" t="inlineStr">
        <is>
          <t>EX-086</t>
        </is>
      </c>
      <c r="B69" s="11" t="inlineStr">
        <is>
          <t>Statistiques</t>
        </is>
      </c>
      <c r="C69" s="11" t="inlineStr">
        <is>
          <t>À la fin d'une séance je veux un résumé.</t>
        </is>
      </c>
      <c r="D69" s="11" t="inlineStr">
        <is>
          <t>Durée, tempo, notes, moyenne, écart-type, pourcentage dans la zone.</t>
        </is>
      </c>
      <c r="E69" s="19" t="inlineStr">
        <is>
          <t>Souhaitable</t>
        </is>
      </c>
      <c r="F69" s="11" t="inlineStr">
        <is>
          <t>—</t>
        </is>
      </c>
      <c r="G69" s="18" t="n">
        <v>3</v>
      </c>
      <c r="H69" s="14" t="n"/>
    </row>
    <row r="70" ht="27.75" customHeight="1">
      <c r="A70" s="15" t="inlineStr">
        <is>
          <t>EX-087</t>
        </is>
      </c>
      <c r="B70" s="16" t="inlineStr">
        <is>
          <t>Statistiques</t>
        </is>
      </c>
      <c r="C70" s="16" t="inlineStr">
        <is>
          <t>L'historique des séances est conservé pour que je puisse me comparer.</t>
        </is>
      </c>
      <c r="D70" s="16" t="inlineStr">
        <is>
          <t>Liste des séances passées, stockée localement.</t>
        </is>
      </c>
      <c r="E70" s="19" t="inlineStr">
        <is>
          <t>Souhaitable</t>
        </is>
      </c>
      <c r="F70" s="16" t="inlineStr">
        <is>
          <t>—</t>
        </is>
      </c>
      <c r="G70" s="18" t="n">
        <v>3</v>
      </c>
      <c r="H70" s="14" t="n"/>
    </row>
    <row r="71" ht="27.75" customHeight="1">
      <c r="A71" s="10" t="inlineStr">
        <is>
          <t>EX-088</t>
        </is>
      </c>
      <c r="B71" s="11" t="inlineStr">
        <is>
          <t>Statistiques</t>
        </is>
      </c>
      <c r="C71" s="11" t="inlineStr">
        <is>
          <t>Je peux sortir mes données brutes pour les analyser ailleurs.</t>
        </is>
      </c>
      <c r="D71" s="11" t="inlineStr">
        <is>
          <t>Export CSV.</t>
        </is>
      </c>
      <c r="E71" s="19" t="inlineStr">
        <is>
          <t>Souhaitable</t>
        </is>
      </c>
      <c r="F71" s="11" t="inlineStr">
        <is>
          <t>—</t>
        </is>
      </c>
      <c r="G71" s="18" t="n">
        <v>3</v>
      </c>
      <c r="H71" s="14" t="n"/>
    </row>
    <row r="72" ht="27.75" customHeight="1">
      <c r="A72" s="15" t="inlineStr">
        <is>
          <t>EX-090</t>
        </is>
      </c>
      <c r="B72" s="16" t="inlineStr">
        <is>
          <t>Ergonomie</t>
        </is>
      </c>
      <c r="C72" s="16" t="inlineStr">
        <is>
          <t>L'écran ne doit pas s'éteindre pendant que je joue.</t>
        </is>
      </c>
      <c r="D72" s="16" t="inlineStr">
        <is>
          <t>Veille désactivée pendant une séance, réactivée à l'arrêt.</t>
        </is>
      </c>
      <c r="E72" s="12" t="inlineStr">
        <is>
          <t>Indispensable</t>
        </is>
      </c>
      <c r="F72" s="16" t="inlineStr">
        <is>
          <t>—</t>
        </is>
      </c>
      <c r="G72" s="13" t="inlineStr">
        <is>
          <t>1</t>
        </is>
      </c>
      <c r="H72" s="14" t="n"/>
    </row>
    <row r="73" ht="27.75" customHeight="1">
      <c r="A73" s="10" t="inlineStr">
        <is>
          <t>EX-091</t>
        </is>
      </c>
      <c r="B73" s="11" t="inlineStr">
        <is>
          <t>Ergonomie</t>
        </is>
      </c>
      <c r="C73" s="11" t="inlineStr">
        <is>
          <t>Démarrer et arrêter doit se faire d'un seul geste, sans regarder.</t>
        </is>
      </c>
      <c r="D73" s="11" t="inlineStr">
        <is>
          <t>Bouton atteignable au pouce, zone tactile large, présent dans les deux modes d'affichage.</t>
        </is>
      </c>
      <c r="E73" s="12" t="inlineStr">
        <is>
          <t>Indispensable</t>
        </is>
      </c>
      <c r="F73" s="11" t="inlineStr">
        <is>
          <t>—</t>
        </is>
      </c>
      <c r="G73" s="13" t="inlineStr">
        <is>
          <t>1</t>
        </is>
      </c>
      <c r="H73" s="14" t="n"/>
    </row>
    <row r="74" ht="27.75" customHeight="1">
      <c r="A74" s="15" t="inlineStr">
        <is>
          <t>EX-093</t>
        </is>
      </c>
      <c r="B74" s="16" t="inlineStr">
        <is>
          <t>Ergonomie</t>
        </is>
      </c>
      <c r="C74" s="16" t="inlineStr">
        <is>
          <t>Mes réglages sont mémorisés d'une séance à l'autre.</t>
        </is>
      </c>
      <c r="D74" s="16" t="inlineStr">
        <is>
          <t>Tempo, clic, volume, alignement, tolérance et clavier restaurés au lancement.</t>
        </is>
      </c>
      <c r="E74" s="17" t="inlineStr">
        <is>
          <t>Important</t>
        </is>
      </c>
      <c r="F74" s="16" t="inlineStr">
        <is>
          <t>—</t>
        </is>
      </c>
      <c r="G74" s="13" t="inlineStr">
        <is>
          <t>1</t>
        </is>
      </c>
      <c r="H74" s="14" t="n"/>
    </row>
    <row r="75" ht="27.75" customHeight="1">
      <c r="A75" s="10" t="inlineStr">
        <is>
          <t>EX-100</t>
        </is>
      </c>
      <c r="B75" s="11" t="inlineStr">
        <is>
          <t>Non fonctionnel</t>
        </is>
      </c>
      <c r="C75" s="11" t="inlineStr">
        <is>
          <t>Ce que je vois à l'écran doit suivre ma frappe sans décalage perceptible.</t>
        </is>
      </c>
      <c r="D75" s="11" t="inlineStr">
        <is>
          <t>Moins de 50 ms entre la réception du message MIDI et l'apparition du repère.</t>
        </is>
      </c>
      <c r="E75" s="12" t="inlineStr">
        <is>
          <t>Indispensable</t>
        </is>
      </c>
      <c r="F75" s="11" t="inlineStr">
        <is>
          <t>&lt; 50 ms</t>
        </is>
      </c>
      <c r="G75" s="13" t="inlineStr">
        <is>
          <t>1</t>
        </is>
      </c>
      <c r="H75" s="14" t="n"/>
    </row>
    <row r="76" ht="27.75" customHeight="1">
      <c r="A76" s="15" t="inlineStr">
        <is>
          <t>EX-102</t>
        </is>
      </c>
      <c r="B76" s="16" t="inlineStr">
        <is>
          <t>Non fonctionnel</t>
        </is>
      </c>
      <c r="C76" s="16" t="inlineStr">
        <is>
          <t>Aucune donnée personnelle collectée, aucun outil de mesure d'audience.</t>
        </is>
      </c>
      <c r="D76" s="16" t="inlineStr">
        <is>
          <t>Aucun composant tiers d'analyse ni de publicité dans le projet.</t>
        </is>
      </c>
      <c r="E76" s="12" t="inlineStr">
        <is>
          <t>Indispensable</t>
        </is>
      </c>
      <c r="F76" s="16" t="inlineStr">
        <is>
          <t>—</t>
        </is>
      </c>
      <c r="G76" s="13" t="inlineStr">
        <is>
          <t>1</t>
        </is>
      </c>
      <c r="H76" s="14" t="n"/>
    </row>
    <row r="77" ht="27.75" customHeight="1">
      <c r="A77" s="10" t="inlineStr">
        <is>
          <t>EX-101</t>
        </is>
      </c>
      <c r="B77" s="11" t="inlineStr">
        <is>
          <t>Non fonctionnel</t>
        </is>
      </c>
      <c r="C77" s="11" t="inlineStr">
        <is>
          <t>Une séance d'une heure ne doit pas vider ma batterie.</t>
        </is>
      </c>
      <c r="D77" s="11" t="inlineStr">
        <is>
          <t>Moins de 15 % par heure, écran allumé. À mesurer : le thème clair consomme davantage sur écran OLED.</t>
        </is>
      </c>
      <c r="E77" s="17" t="inlineStr">
        <is>
          <t>Important</t>
        </is>
      </c>
      <c r="F77" s="11" t="inlineStr">
        <is>
          <t>&lt; 15 %/h</t>
        </is>
      </c>
      <c r="G77" s="18" t="n">
        <v>3</v>
      </c>
      <c r="H77" s="14" t="n"/>
    </row>
    <row r="78" ht="27.75" customHeight="1">
      <c r="A78" s="15" t="inlineStr">
        <is>
          <t>EX-103</t>
        </is>
      </c>
      <c r="B78" s="16" t="inlineStr">
        <is>
          <t>Non fonctionnel</t>
        </is>
      </c>
      <c r="C78" s="16" t="inlineStr">
        <is>
          <t>L'application doit être prête à mesurer presque immédiatement.</t>
        </is>
      </c>
      <c r="D78" s="16" t="inlineStr">
        <is>
          <t>Lancement en moins de 2 s, prête en moins de 5 s.</t>
        </is>
      </c>
      <c r="E78" s="17" t="inlineStr">
        <is>
          <t>Important</t>
        </is>
      </c>
      <c r="F78" s="16" t="inlineStr">
        <is>
          <t>—</t>
        </is>
      </c>
      <c r="G78" s="18" t="inlineStr">
        <is>
          <t>2</t>
        </is>
      </c>
      <c r="H78" s="14" t="n"/>
    </row>
    <row r="79" ht="27.75" customHeight="1">
      <c r="A79" s="10" t="inlineStr">
        <is>
          <t>EX-120</t>
        </is>
      </c>
      <c r="B79" s="11" t="inlineStr">
        <is>
          <t>Publication</t>
        </is>
      </c>
      <c r="C79" s="11" t="inlineStr">
        <is>
          <t>Je dois pouvoir installer l'application sur mon téléphone sans passer par l'App Store.</t>
        </is>
      </c>
      <c r="D79" s="11" t="inlineStr">
        <is>
          <t>Distribution par TestFlight ou compilation directe depuis Xcode.</t>
        </is>
      </c>
      <c r="E79" s="17" t="inlineStr">
        <is>
          <t>Important</t>
        </is>
      </c>
      <c r="F79" s="11" t="inlineStr">
        <is>
          <t>—</t>
        </is>
      </c>
      <c r="G79" s="13" t="inlineStr">
        <is>
          <t>1</t>
        </is>
      </c>
      <c r="H79" s="14" t="n"/>
    </row>
    <row r="80" ht="27.75" customHeight="1">
      <c r="A80" s="15" t="inlineStr">
        <is>
          <t>EX-121</t>
        </is>
      </c>
      <c r="B80" s="16" t="inlineStr">
        <is>
          <t>Publication</t>
        </is>
      </c>
      <c r="C80" s="16" t="inlineStr">
        <is>
          <t>L'icône respecte les contraintes d'Apple.</t>
        </is>
      </c>
      <c r="D80" s="16" t="inlineStr">
        <is>
          <t>1024×1024, sans canal alpha, coins carrés — iOS applique son propre masque.</t>
        </is>
      </c>
      <c r="E80" s="17" t="inlineStr">
        <is>
          <t>Important</t>
        </is>
      </c>
      <c r="F80" s="16" t="inlineStr">
        <is>
          <t>—</t>
        </is>
      </c>
      <c r="G80" s="13" t="inlineStr">
        <is>
          <t>1</t>
        </is>
      </c>
      <c r="H80" s="14" t="n"/>
    </row>
    <row r="81" ht="27.75" customHeight="1">
      <c r="A81" s="10" t="inlineStr">
        <is>
          <t>EX-122</t>
        </is>
      </c>
      <c r="B81" s="11" t="inlineStr">
        <is>
          <t>Publication</t>
        </is>
      </c>
      <c r="C81" s="11" t="inlineStr">
        <is>
          <t>L'application doit passer la revue de l'App Store sans reprise d'interface.</t>
        </is>
      </c>
      <c r="D81" s="11" t="inlineStr">
        <is>
          <t>Aucun écart notable aux conventions du système : navigation, contrôles, accessibilité, absence de fonction cachée.</t>
        </is>
      </c>
      <c r="E81" s="17" t="inlineStr">
        <is>
          <t>Important</t>
        </is>
      </c>
      <c r="F81" s="11" t="inlineStr">
        <is>
          <t>—</t>
        </is>
      </c>
      <c r="G81" s="18" t="inlineStr">
        <is>
          <t>2</t>
        </is>
      </c>
      <c r="H81" s="14" t="n"/>
    </row>
    <row r="82" ht="28" customHeight="1">
      <c r="A82" s="15" t="inlineStr">
        <is>
          <t>EX-123</t>
        </is>
      </c>
      <c r="B82" s="16" t="inlineStr">
        <is>
          <t>Publication</t>
        </is>
      </c>
      <c r="C82" s="16" t="inlineStr">
        <is>
          <t>La fiche de collecte de données doit pouvoir être remplie honnêtement à « aucune ».</t>
        </is>
      </c>
      <c r="D82" s="16" t="inlineStr">
        <is>
          <t>Aucune donnée ne quitte l'appareil, ce qui doit rester vrai à chaque évolution.</t>
        </is>
      </c>
      <c r="E82" s="17" t="inlineStr">
        <is>
          <t>Important</t>
        </is>
      </c>
      <c r="F82" s="16" t="inlineStr">
        <is>
          <t>aucune</t>
        </is>
      </c>
      <c r="G82" s="18" t="inlineStr">
        <is>
          <t>2</t>
        </is>
      </c>
      <c r="H82" s="14" t="n"/>
    </row>
    <row r="83">
      <c r="A83" s="10" t="inlineStr">
        <is>
          <t>EX-124</t>
        </is>
      </c>
      <c r="B83" s="11" t="inlineStr">
        <is>
          <t>Publication</t>
        </is>
      </c>
      <c r="C83" s="11" t="inlineStr">
        <is>
          <t>Une politique de confidentialité, même minimale, doit exister.</t>
        </is>
      </c>
      <c r="D83" s="11" t="inlineStr">
        <is>
          <t>Page publique indiquant qu'aucune donnée n'est collectée.</t>
        </is>
      </c>
      <c r="E83" s="17" t="inlineStr">
        <is>
          <t>Important</t>
        </is>
      </c>
      <c r="F83" s="11" t="inlineStr">
        <is>
          <t>—</t>
        </is>
      </c>
      <c r="G83" s="18" t="n">
        <v>3</v>
      </c>
      <c r="H83" s="14" t="n"/>
    </row>
    <row r="84" ht="57" customHeight="1">
      <c r="A84" s="33" t="inlineStr">
        <is>
          <t>EX-130</t>
        </is>
      </c>
      <c r="B84" s="33" t="inlineStr">
        <is>
          <t>Récompense</t>
        </is>
      </c>
      <c r="C84" s="33" t="inlineStr">
        <is>
          <t>Je veux un retour sonore sur l'instrument qui signale que ma frappe est juste, activable et désactivable.</t>
        </is>
      </c>
      <c r="D84" s="33" t="inlineStr">
        <is>
          <t>Un réglage « Récompense sonore » dans les Réglages, désactivé par défaut. Actif, il déclenche un message MIDI vers l'instrument à chaque frappe tombée dans la zone « juste », coupé par un Note Off peu après pour ne jamais laisser de note tenue.</t>
        </is>
      </c>
      <c r="E84" s="36" t="inlineStr">
        <is>
          <t>Souhaitable</t>
        </is>
      </c>
      <c r="F84" s="33" t="inlineStr">
        <is>
          <t>désactivé</t>
        </is>
      </c>
      <c r="G84" s="38" t="inlineStr">
        <is>
          <t>3</t>
        </is>
      </c>
      <c r="H84" s="35" t="inlineStr">
        <is>
          <t>testé et validé sur mon clavier le 27/07/2026</t>
        </is>
      </c>
    </row>
    <row r="85" ht="57" customHeight="1">
      <c r="A85" s="33" t="inlineStr">
        <is>
          <t>EX-131</t>
        </is>
      </c>
      <c r="B85" s="33" t="inlineStr">
        <is>
          <t>Récompense</t>
        </is>
      </c>
      <c r="C85" s="33" t="inlineStr">
        <is>
          <t>Je veux choisir la forme de ce retour : soit une note ajoutée à l'octave, soit le silence si je suis imprécis.</t>
        </is>
      </c>
      <c r="D85" s="33" t="inlineStr">
        <is>
          <t>Un sélecteur à deux choix dans les Réglages, actif seulement si EX-130 l'est. « Note doublée à l'octave » : la frappe juste ajoute une note un octave au-dessus. « Note muette si imprécise » : seule une frappe juste est renvoyée par l'application, à la même hauteur ; une frappe imprécise reste silencieuse.</t>
        </is>
      </c>
      <c r="E85" s="36" t="inlineStr">
        <is>
          <t>Souhaitable</t>
        </is>
      </c>
      <c r="F85" s="33" t="inlineStr">
        <is>
          <t>note à l'octave</t>
        </is>
      </c>
      <c r="G85" s="38" t="inlineStr">
        <is>
          <t>3</t>
        </is>
      </c>
      <c r="H85" s="35" t="inlineStr">
        <is>
          <t>le mode muet suppose le Local Control coupé sur l'instrument, sinon il joue déjà tout seul en local</t>
        </is>
      </c>
    </row>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n"/>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n"/>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 20</t>
        </is>
      </c>
      <c r="C6" s="15" t="inlineStr">
        <is>
          <t>± 5</t>
        </is>
      </c>
      <c r="D6" s="15" t="inlineStr">
        <is>
          <t>± 60</t>
        </is>
      </c>
      <c r="E6" s="15" t="inlineStr">
        <is>
          <t>ms</t>
        </is>
      </c>
      <c r="F6" s="16" t="inlineStr">
        <is>
          <t>réglages</t>
        </is>
      </c>
      <c r="G6" s="15" t="inlineStr">
        <is>
          <t>EX-063</t>
        </is>
      </c>
      <c r="H6" s="14" t="inlineStr">
        <is>
          <t>20 ms est le seuil courant de perception d'un décalage</t>
        </is>
      </c>
    </row>
    <row r="7" ht="27.75" customHeight="1">
      <c r="A7" s="11" t="inlineStr">
        <is>
          <t>Échelle horizontale</t>
        </is>
      </c>
      <c r="B7" s="10" t="inlineStr">
        <is>
          <t>± 120</t>
        </is>
      </c>
      <c r="C7" s="10" t="inlineStr">
        <is>
          <t>—</t>
        </is>
      </c>
      <c r="D7" s="10" t="inlineStr">
        <is>
          <t>—</t>
        </is>
      </c>
      <c r="E7" s="10" t="inlineStr">
        <is>
          <t>ms</t>
        </is>
      </c>
      <c r="F7" s="11" t="inlineStr">
        <is>
          <t>fixe en phase 1</t>
        </is>
      </c>
      <c r="G7" s="10" t="inlineStr">
        <is>
          <t>EX-067</t>
        </is>
      </c>
      <c r="H7" s="14" t="inlineStr">
        <is>
          <t>deviendra réglable en phase 2</t>
        </is>
      </c>
    </row>
    <row r="8" ht="27.75" customHeight="1">
      <c r="A8" s="16" t="inlineStr">
        <is>
          <t>Profondeur d'historique</t>
        </is>
      </c>
      <c r="B8" s="15" t="inlineStr">
        <is>
          <t>6</t>
        </is>
      </c>
      <c r="C8" s="15" t="inlineStr">
        <is>
          <t>—</t>
        </is>
      </c>
      <c r="D8" s="15" t="inlineStr">
        <is>
          <t>—</t>
        </is>
      </c>
      <c r="E8" s="15" t="inlineStr">
        <is>
          <t>s</t>
        </is>
      </c>
      <c r="F8" s="16" t="inlineStr">
        <is>
          <t>fixe</t>
        </is>
      </c>
      <c r="G8" s="15" t="inlineStr">
        <is>
          <t>EX-061</t>
        </is>
      </c>
      <c r="H8" s="14" t="inlineStr">
        <is>
          <t>détermine la vitesse de défilement</t>
        </is>
      </c>
    </row>
    <row r="9" ht="27.75" customHeight="1">
      <c r="A9" s="11" t="inlineStr">
        <is>
          <t>Seuil de régularité</t>
        </is>
      </c>
      <c r="B9" s="10" t="inlineStr">
        <is>
          <t>5</t>
        </is>
      </c>
      <c r="C9" s="10" t="inlineStr">
        <is>
          <t>—</t>
        </is>
      </c>
      <c r="D9" s="10" t="inlineStr">
        <is>
          <t>—</t>
        </is>
      </c>
      <c r="E9" s="10" t="inlineStr">
        <is>
          <t>% intervalle</t>
        </is>
      </c>
      <c r="F9" s="11" t="inlineStr">
        <is>
          <t>fixe</t>
        </is>
      </c>
      <c r="G9" s="10" t="inlineStr">
        <is>
          <t>EX-082</t>
        </is>
      </c>
      <c r="H9" s="14" t="inlineStr">
        <is>
          <t>au-delà, l'affichage passe en couleur d'alerte</t>
        </is>
      </c>
    </row>
    <row r="10" ht="27.75" customHeight="1">
      <c r="A10" s="16" t="inlineStr">
        <is>
          <t>Plancher de régularité</t>
        </is>
      </c>
      <c r="B10" s="15" t="inlineStr">
        <is>
          <t>15</t>
        </is>
      </c>
      <c r="C10" s="15" t="inlineStr">
        <is>
          <t>—</t>
        </is>
      </c>
      <c r="D10" s="15" t="inlineStr">
        <is>
          <t>—</t>
        </is>
      </c>
      <c r="E10" s="15" t="inlineStr">
        <is>
          <t>ms</t>
        </is>
      </c>
      <c r="F10" s="16" t="inlineStr">
        <is>
          <t>fixe</t>
        </is>
      </c>
      <c r="G10" s="15" t="inlineStr">
        <is>
          <t>EX-082</t>
        </is>
      </c>
      <c r="H10" s="14" t="inlineStr">
        <is>
          <t>prend le relais aux tempos rapides, où un pourcentage seul serait hors d'atteinte</t>
        </is>
      </c>
    </row>
    <row r="11" ht="27.75" customHeight="1">
      <c r="A11" s="16" t="inlineStr">
        <is>
          <t>Démarrage synchronisé</t>
        </is>
      </c>
      <c r="B11" s="15" t="inlineStr">
        <is>
          <t>désactivé</t>
        </is>
      </c>
      <c r="C11" s="15" t="inlineStr">
        <is>
          <t>—</t>
        </is>
      </c>
      <c r="D11" s="15" t="inlineStr">
        <is>
          <t>—</t>
        </is>
      </c>
      <c r="E11" s="15" t="inlineStr">
        <is>
          <t>—</t>
        </is>
      </c>
      <c r="F11" s="16" t="inlineStr">
        <is>
          <t>réglages</t>
        </is>
      </c>
      <c r="G11" s="15" t="inlineStr">
        <is>
          <t>EX-053</t>
        </is>
      </c>
      <c r="H11" s="14" t="n"/>
    </row>
    <row r="12" ht="27.75" customHeight="1">
      <c r="A12" s="16" t="inlineStr">
        <is>
          <t>Suivi de l'horloge MIDI</t>
        </is>
      </c>
      <c r="B12" s="15" t="inlineStr">
        <is>
          <t>suit EX-053</t>
        </is>
      </c>
      <c r="C12" s="15" t="inlineStr">
        <is>
          <t>—</t>
        </is>
      </c>
      <c r="D12" s="15" t="inlineStr">
        <is>
          <t>—</t>
        </is>
      </c>
      <c r="E12" s="15" t="inlineStr">
        <is>
          <t>—</t>
        </is>
      </c>
      <c r="F12" s="16" t="inlineStr">
        <is>
          <t>réglages (via Démarrage synchronisé)</t>
        </is>
      </c>
      <c r="G12" s="15" t="inlineStr">
        <is>
          <t>EX-054</t>
        </is>
      </c>
      <c r="H12" s="14" t="inlineStr">
        <is>
          <t>exige que le clavier émette du MIDI Clock ; certains n'envoient que Start et Stop</t>
        </is>
      </c>
    </row>
    <row r="13" ht="27.75" customHeight="1">
      <c r="A13" s="16" t="inlineStr">
        <is>
          <t>Récompense sonore</t>
        </is>
      </c>
      <c r="B13" s="15" t="inlineStr">
        <is>
          <t>désactivé</t>
        </is>
      </c>
      <c r="C13" s="15" t="inlineStr">
        <is>
          <t>—</t>
        </is>
      </c>
      <c r="D13" s="15" t="inlineStr">
        <is>
          <t>—</t>
        </is>
      </c>
      <c r="E13" s="15" t="inlineStr">
        <is>
          <t>—</t>
        </is>
      </c>
      <c r="F13" s="16" t="inlineStr">
        <is>
          <t>réglages</t>
        </is>
      </c>
      <c r="G13" s="15" t="inlineStr">
        <is>
          <t>EX-130</t>
        </is>
      </c>
      <c r="H13" s="14" t="n"/>
    </row>
    <row r="14" ht="27.75" customHeight="1">
      <c r="A14" s="16" t="inlineStr">
        <is>
          <t>Mode de récompense</t>
        </is>
      </c>
      <c r="B14" s="15" t="inlineStr">
        <is>
          <t>note à l'octave</t>
        </is>
      </c>
      <c r="C14" s="15" t="inlineStr">
        <is>
          <t>—</t>
        </is>
      </c>
      <c r="D14" s="15" t="inlineStr">
        <is>
          <t>—</t>
        </is>
      </c>
      <c r="E14" s="15" t="inlineStr">
        <is>
          <t>—</t>
        </is>
      </c>
      <c r="F14" s="16" t="inlineStr">
        <is>
          <t>réglages</t>
        </is>
      </c>
      <c r="G14" s="15" t="inlineStr">
        <is>
          <t>EX-131</t>
        </is>
      </c>
      <c r="H14" s="14" t="inlineStr">
        <is>
          <t>deux options : note à l'octave, ou note muette si imprécise</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20"/>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2026-07-28T15:25:20Z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