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3"/>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v2.2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3" ht="68" customHeight="1">
      <c r="A43"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4" ht="51.75" customHeight="1">
      <c r="A44"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5" ht="30" customHeight="1">
      <c r="A45" s="4" t="inlineStr">
        <is>
          <t>v1.0 à v1.3 — Versions antérieures, interface à identité graphique propre. Conservées pour mémoire, plus maintenues.</t>
        </is>
      </c>
    </row>
    <row r="46" ht="16" customHeight="1"/>
    <row r="47">
      <c r="A47" s="3" t="inlineStr">
        <is>
          <t>Synthèse (calculée depuis l'onglet Exigences)</t>
        </is>
      </c>
    </row>
    <row r="48">
      <c r="A48" s="5" t="inlineStr">
        <is>
          <t>Phase 1 — Indispensable</t>
        </is>
      </c>
      <c r="B48" s="6">
        <f>COUNTIFS(Exigences!$E$3:$E$200,"Indispensable",Exigences!$G$3:$G$200,"1")</f>
        <v/>
      </c>
    </row>
    <row r="49">
      <c r="A49" s="5" t="inlineStr">
        <is>
          <t>Phase 1 — Important</t>
        </is>
      </c>
      <c r="B49" s="6">
        <f>COUNTIFS(Exigences!$E$3:$E$200,"Important",Exigences!$G$3:$G$200,"1")</f>
        <v/>
      </c>
    </row>
    <row r="50">
      <c r="A50" s="5" t="inlineStr">
        <is>
          <t>Phase 1 — Souhaitable</t>
        </is>
      </c>
      <c r="B50" s="6">
        <f>COUNTIFS(Exigences!$E$3:$E$200,"Souhaitable",Exigences!$G$3:$G$200,"1")</f>
        <v/>
      </c>
    </row>
    <row r="51">
      <c r="A51" s="5" t="inlineStr">
        <is>
          <t>Phase 1 — total</t>
        </is>
      </c>
      <c r="B51" s="6">
        <f>COUNTIF(Exigences!$G$3:$G$200,"1")</f>
        <v/>
      </c>
    </row>
    <row r="52">
      <c r="A52" s="5" t="inlineStr">
        <is>
          <t>Phase 2 — reporté</t>
        </is>
      </c>
      <c r="B52" s="6">
        <f>COUNTIF(Exigences!$G$3:$G$200,"2")</f>
        <v/>
      </c>
    </row>
    <row r="53">
      <c r="A53" s="5" t="inlineStr">
        <is>
          <t>Total décrit</t>
        </is>
      </c>
      <c r="B53"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t>
        </is>
      </c>
      <c r="E24" s="17" t="inlineStr">
        <is>
          <t>Important</t>
        </is>
      </c>
      <c r="F24" s="16" t="inlineStr">
        <is>
          <t>—</t>
        </is>
      </c>
      <c r="G24" s="18" t="inlineStr">
        <is>
          <t>2</t>
        </is>
      </c>
      <c r="H24" s="14" t="n"/>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s'ajoutant à la compensation automatique.</t>
        </is>
      </c>
      <c r="E34" s="17" t="inlineStr">
        <is>
          <t>Important</t>
        </is>
      </c>
      <c r="F34" s="16" t="inlineStr">
        <is>
          <t>0 ms</t>
        </is>
      </c>
      <c r="G34" s="13" t="inlineStr">
        <is>
          <t>1</t>
        </is>
      </c>
      <c r="H34" s="14" t="n"/>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on ne calibre pas sur sa propre perception, puisqu'on anticipe naturellement de 10 à 20 ms.</t>
        </is>
      </c>
      <c r="E35" s="17" t="inlineStr">
        <is>
          <t>Important</t>
        </is>
      </c>
      <c r="F35" s="11" t="inlineStr">
        <is>
          <t>—</t>
        </is>
      </c>
      <c r="G35" s="13" t="inlineStr">
        <is>
          <t>1</t>
        </is>
      </c>
      <c r="H35" s="14" t="n"/>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Le tempo reçu est affiché à la place du tempo réglé, qui ne fait plus foi.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t>
        </is>
      </c>
      <c r="D54" s="16" t="inlineStr">
        <is>
          <t>Largeur réglable, visible en permanence de part et d'autre de la ligne.</t>
        </is>
      </c>
      <c r="E54" s="12" t="inlineStr">
        <is>
          <t>Indispensable</t>
        </is>
      </c>
      <c r="F54" s="16" t="inlineStr">
        <is>
          <t>± 20 ms</t>
        </is>
      </c>
      <c r="G54" s="13" t="inlineStr">
        <is>
          <t>1</t>
        </is>
      </c>
      <c r="H54" s="14" t="n"/>
    </row>
    <row r="55" ht="27.75" customHeight="1">
      <c r="A55" s="10" t="inlineStr">
        <is>
          <t>EX-066</t>
        </is>
      </c>
      <c r="B55" s="11" t="inlineStr">
        <is>
          <t>Visualisation</t>
        </is>
      </c>
      <c r="C55" s="11" t="inlineStr">
        <is>
          <t>Un affichage instantané en gros caractères donne l'écart de la dernière note.</t>
        </is>
      </c>
      <c r="D55" s="11" t="inlineStr">
        <is>
          <t>Valeur en millisecondes plus un mot. Lisible à un mètre depuis le pupitre.</t>
        </is>
      </c>
      <c r="E55" s="12" t="inlineStr">
        <is>
          <t>Indispensable</t>
        </is>
      </c>
      <c r="F55" s="11" t="inlineStr">
        <is>
          <t>—</t>
        </is>
      </c>
      <c r="G55" s="13" t="inlineStr">
        <is>
          <t>1</t>
        </is>
      </c>
      <c r="H55" s="14" t="n"/>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t>
        </is>
      </c>
      <c r="D60" s="16" t="inlineStr">
        <is>
          <t>De ±40 ms à ±300 ms.</t>
        </is>
      </c>
      <c r="E60" s="19" t="inlineStr">
        <is>
          <t>Souhaitable</t>
        </is>
      </c>
      <c r="F60" s="16" t="inlineStr">
        <is>
          <t>± 120 ms</t>
        </is>
      </c>
      <c r="G60" s="18" t="inlineStr">
        <is>
          <t>2</t>
        </is>
      </c>
      <c r="H60" s="14" t="n"/>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visible en permanence.</t>
        </is>
      </c>
      <c r="E62" s="12" t="inlineStr">
        <is>
          <t>Indispensable</t>
        </is>
      </c>
      <c r="F62" s="16" t="inlineStr">
        <is>
          <t>—</t>
        </is>
      </c>
      <c r="G62" s="13" t="inlineStr">
        <is>
          <t>1</t>
        </is>
      </c>
      <c r="H62" s="14" t="n"/>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t>
        </is>
      </c>
      <c r="E64" s="12" t="inlineStr">
        <is>
          <t>Indispensable</t>
        </is>
      </c>
      <c r="F64" s="16" t="inlineStr">
        <is>
          <t>5 % ou 15 ms</t>
        </is>
      </c>
      <c r="G64" s="13" t="inlineStr">
        <is>
          <t>1</t>
        </is>
      </c>
      <c r="H64" s="14" t="n"/>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glissante des X dernières notes, X réglable de 4 à 32.</t>
        </is>
      </c>
      <c r="E68" s="17" t="inlineStr">
        <is>
          <t>Important</t>
        </is>
      </c>
      <c r="F68" s="16" t="inlineStr">
        <is>
          <t>8 notes</t>
        </is>
      </c>
      <c r="G68" s="18" t="n">
        <v>3</v>
      </c>
      <c r="H68" s="14" t="n"/>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6" t="inlineStr">
        <is>
          <t>Souhaitable</t>
        </is>
      </c>
      <c r="F85" s="33" t="inlineStr">
        <is>
          <t>note à l'octave</t>
        </is>
      </c>
      <c r="G85" s="38" t="inlineStr">
        <is>
          <t>3</t>
        </is>
      </c>
      <c r="H85" s="35"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n"/>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 20</t>
        </is>
      </c>
      <c r="C6" s="15" t="inlineStr">
        <is>
          <t>± 5</t>
        </is>
      </c>
      <c r="D6" s="15" t="inlineStr">
        <is>
          <t>± 60</t>
        </is>
      </c>
      <c r="E6" s="15" t="inlineStr">
        <is>
          <t>ms</t>
        </is>
      </c>
      <c r="F6" s="16" t="inlineStr">
        <is>
          <t>réglages</t>
        </is>
      </c>
      <c r="G6" s="15" t="inlineStr">
        <is>
          <t>EX-063</t>
        </is>
      </c>
      <c r="H6" s="14" t="inlineStr">
        <is>
          <t>20 ms est le seuil courant de perception d'un décalage</t>
        </is>
      </c>
    </row>
    <row r="7" ht="27.75" customHeight="1">
      <c r="A7" s="11" t="inlineStr">
        <is>
          <t>Échelle horizontale</t>
        </is>
      </c>
      <c r="B7" s="10" t="inlineStr">
        <is>
          <t>± 120</t>
        </is>
      </c>
      <c r="C7" s="10" t="inlineStr">
        <is>
          <t>—</t>
        </is>
      </c>
      <c r="D7" s="10" t="inlineStr">
        <is>
          <t>—</t>
        </is>
      </c>
      <c r="E7" s="10" t="inlineStr">
        <is>
          <t>ms</t>
        </is>
      </c>
      <c r="F7" s="11" t="inlineStr">
        <is>
          <t>fixe en phase 1</t>
        </is>
      </c>
      <c r="G7" s="10" t="inlineStr">
        <is>
          <t>EX-067</t>
        </is>
      </c>
      <c r="H7" s="14" t="inlineStr">
        <is>
          <t>deviendra réglable en phase 2</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22"/>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2026-07-28T21:36:03Z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