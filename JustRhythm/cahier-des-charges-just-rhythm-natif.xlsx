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60" windowWidth="36000" windowHeight="22520" tabRatio="500" firstSheet="0" activeTab="1" autoFilterDateGrouping="1"/>
  </bookViews>
  <sheets>
    <sheet name="Contexte" sheetId="1" state="visible" r:id="rId1"/>
    <sheet name="Exigences" sheetId="2" state="visible" r:id="rId2"/>
    <sheet name="Paramètres" sheetId="3" state="visible" r:id="rId3"/>
    <sheet name="Risques et décisions" sheetId="4" state="visible" r:id="rId4"/>
  </sheets>
  <definedNames>
    <definedName name="_xlnm._FilterDatabase" localSheetId="1" hidden="1">'Exigences'!$A$1:$H$85</definedName>
  </definedNames>
  <calcPr calcId="191029" fullCalcOnLoad="1" iterateDelta="0.0001"/>
</workbook>
</file>

<file path=xl/styles.xml><?xml version="1.0" encoding="utf-8"?>
<styleSheet xmlns="http://schemas.openxmlformats.org/spreadsheetml/2006/main">
  <numFmts count="0"/>
  <fonts count="13">
    <font>
      <name val="Calibri"/>
      <charset val="1"/>
      <family val="2"/>
      <color theme="1"/>
      <sz val="11"/>
    </font>
    <font>
      <name val="Arial"/>
      <family val="2"/>
      <b val="1"/>
      <color rgb="FF1F3B4D"/>
      <sz val="17"/>
    </font>
    <font>
      <name val="Arial"/>
      <family val="2"/>
      <i val="1"/>
      <color rgb="FF5A6B78"/>
      <sz val="10"/>
    </font>
    <font>
      <name val="Arial"/>
      <family val="2"/>
      <b val="1"/>
      <color rgb="FF1F3B4D"/>
      <sz val="11.5"/>
    </font>
    <font>
      <name val="Arial"/>
      <family val="2"/>
      <color rgb="FF222222"/>
      <sz val="10.5"/>
    </font>
    <font>
      <name val="Arial"/>
      <family val="2"/>
      <sz val="10.5"/>
    </font>
    <font>
      <name val="Arial"/>
      <family val="2"/>
      <b val="1"/>
      <color rgb="FF1F3B4D"/>
      <sz val="10.5"/>
    </font>
    <font>
      <name val="Arial"/>
      <family val="2"/>
      <b val="1"/>
      <color rgb="FFFFFFFF"/>
      <sz val="10"/>
    </font>
    <font>
      <name val="Arial"/>
      <family val="2"/>
      <i val="1"/>
      <color rgb="FF8A8A8A"/>
      <sz val="9.5"/>
    </font>
    <font>
      <name val="Arial"/>
      <family val="2"/>
      <color rgb="FF222222"/>
      <sz val="9.5"/>
    </font>
    <font>
      <name val="Arial"/>
      <family val="2"/>
      <b val="1"/>
      <color rgb="FF3D6B2E"/>
      <sz val="9.5"/>
    </font>
    <font>
      <name val="Arial"/>
      <family val="2"/>
      <b val="1"/>
      <color rgb="FF777777"/>
      <sz val="9.5"/>
    </font>
    <font>
      <name val="Arial"/>
      <charset val="1"/>
      <family val="2"/>
      <color rgb="FF222222"/>
      <sz val="9.5"/>
    </font>
  </fonts>
  <fills count="11">
    <fill>
      <patternFill/>
    </fill>
    <fill>
      <patternFill patternType="gray125"/>
    </fill>
    <fill>
      <patternFill patternType="solid">
        <fgColor rgb="FF1F3B4D"/>
        <bgColor rgb="FF003366"/>
      </patternFill>
    </fill>
    <fill>
      <patternFill patternType="solid">
        <fgColor rgb="FFF7F7F7"/>
        <bgColor rgb="FFF2F5F7"/>
      </patternFill>
    </fill>
    <fill>
      <patternFill patternType="solid">
        <fgColor rgb="FFF2F5F7"/>
        <bgColor rgb="FFF7F7F7"/>
      </patternFill>
    </fill>
    <fill>
      <patternFill patternType="solid">
        <fgColor rgb="FFF6DCDB"/>
        <bgColor rgb="FFE4E4E4"/>
      </patternFill>
    </fill>
    <fill>
      <patternFill patternType="solid">
        <fgColor rgb="FFDCE9D5"/>
        <bgColor rgb="FFE4E4E4"/>
      </patternFill>
    </fill>
    <fill>
      <patternFill patternType="solid">
        <fgColor rgb="FFFFF7CC"/>
        <bgColor rgb="FFFCEBD8"/>
      </patternFill>
    </fill>
    <fill>
      <patternFill patternType="solid">
        <fgColor rgb="FFFCEBD8"/>
        <bgColor rgb="FFFFF7CC"/>
      </patternFill>
    </fill>
    <fill>
      <patternFill patternType="solid">
        <fgColor rgb="FFE4E4E4"/>
        <bgColor rgb="FFDCE9D5"/>
      </patternFill>
    </fill>
    <fill>
      <patternFill patternType="solid">
        <fgColor rgb="FFE7EFDC"/>
        <bgColor rgb="FFDCE9D5"/>
      </patternFill>
    </fill>
  </fills>
  <borders count="5">
    <border>
      <left/>
      <right/>
      <top/>
      <bottom/>
      <diagonal/>
    </border>
    <border>
      <left style="thin">
        <color rgb="FFBFC9D1"/>
      </left>
      <right style="thin">
        <color rgb="FFBFC9D1"/>
      </right>
      <top style="thin">
        <color rgb="FFBFC9D1"/>
      </top>
      <bottom style="thin">
        <color rgb="FFBFC9D1"/>
      </bottom>
      <diagonal/>
    </border>
    <border>
      <left style="thin">
        <color indexed="64"/>
      </left>
      <right style="thin">
        <color indexed="64"/>
      </right>
      <top style="thin">
        <color indexed="64"/>
      </top>
      <bottom style="thin">
        <color indexed="64"/>
      </bottom>
      <diagonal/>
    </border>
    <border>
      <left style="thin">
        <color rgb="FFBFC9D1"/>
      </left>
      <right style="thin">
        <color rgb="FFBFC9D1"/>
      </right>
      <top style="thin">
        <color rgb="FFBFC9D1"/>
      </top>
      <bottom/>
      <diagonal/>
    </border>
    <border>
      <left style="thin">
        <color rgb="FFBFC9D1"/>
      </left>
      <right style="thin">
        <color rgb="FFBFC9D1"/>
      </right>
      <top/>
      <bottom style="thin">
        <color rgb="FFBFC9D1"/>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horizontal="center"/>
    </xf>
    <xf numFmtId="0" fontId="7" fillId="2" borderId="1" applyAlignment="1" pivotButton="0" quotePrefix="0" xfId="0">
      <alignment horizontal="center" vertical="center" wrapText="1"/>
    </xf>
    <xf numFmtId="0" fontId="8" fillId="3" borderId="1" applyAlignment="1" pivotButton="0" quotePrefix="0" xfId="0">
      <alignment horizontal="center" vertical="top" wrapText="1"/>
    </xf>
    <xf numFmtId="0" fontId="8" fillId="3" borderId="1" applyAlignment="1" pivotButton="0" quotePrefix="0" xfId="0">
      <alignment horizontal="left" vertical="top" wrapText="1"/>
    </xf>
    <xf numFmtId="0" fontId="9" fillId="4"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10" fillId="6" borderId="1" applyAlignment="1" pivotButton="0" quotePrefix="0" xfId="0">
      <alignment horizontal="center" vertical="top" wrapText="1"/>
    </xf>
    <xf numFmtId="0" fontId="9" fillId="7" borderId="1" applyAlignment="1" pivotButton="0" quotePrefix="0" xfId="0">
      <alignment horizontal="left" vertical="top" wrapText="1"/>
    </xf>
    <xf numFmtId="0" fontId="9" fillId="0" borderId="1" applyAlignment="1" pivotButton="0" quotePrefix="0" xfId="0">
      <alignment horizontal="center" vertical="top" wrapText="1"/>
    </xf>
    <xf numFmtId="0" fontId="9" fillId="0" borderId="1" applyAlignment="1" pivotButton="0" quotePrefix="0" xfId="0">
      <alignment horizontal="left" vertical="top" wrapText="1"/>
    </xf>
    <xf numFmtId="0" fontId="9" fillId="8" borderId="1" applyAlignment="1" pivotButton="0" quotePrefix="0" xfId="0">
      <alignment horizontal="center" vertical="top" wrapText="1"/>
    </xf>
    <xf numFmtId="0" fontId="11" fillId="9" borderId="1" applyAlignment="1" pivotButton="0" quotePrefix="0" xfId="0">
      <alignment horizontal="center" vertical="top" wrapText="1"/>
    </xf>
    <xf numFmtId="0" fontId="9" fillId="10" borderId="1" applyAlignment="1" pivotButton="0" quotePrefix="0" xfId="0">
      <alignment horizontal="center" vertical="top" wrapText="1"/>
    </xf>
    <xf numFmtId="0" fontId="9" fillId="0" borderId="1" applyAlignment="1" pivotButton="0" quotePrefix="0" xfId="0">
      <alignment vertical="top" wrapText="1"/>
    </xf>
    <xf numFmtId="0" fontId="9" fillId="4" borderId="1" applyAlignment="1" pivotButton="0" quotePrefix="0" xfId="0">
      <alignment vertical="top" wrapText="1"/>
    </xf>
    <xf numFmtId="0" fontId="12" fillId="0" borderId="1" applyAlignment="1" pivotButton="0" quotePrefix="0" xfId="0">
      <alignment vertical="top" wrapText="1"/>
    </xf>
    <xf numFmtId="0" fontId="9" fillId="0" borderId="3" applyAlignment="1" pivotButton="0" quotePrefix="0" xfId="0">
      <alignment horizontal="center" vertical="top" wrapText="1"/>
    </xf>
    <xf numFmtId="0" fontId="9" fillId="0" borderId="3" applyAlignment="1" pivotButton="0" quotePrefix="0" xfId="0">
      <alignment horizontal="left" vertical="top" wrapText="1"/>
    </xf>
    <xf numFmtId="0" fontId="9" fillId="10" borderId="3" applyAlignment="1" pivotButton="0" quotePrefix="0" xfId="0">
      <alignment horizontal="center" vertical="top" wrapText="1"/>
    </xf>
    <xf numFmtId="0" fontId="11" fillId="9" borderId="3" applyAlignment="1" pivotButton="0" quotePrefix="0" xfId="0">
      <alignment horizontal="center" vertical="top" wrapText="1"/>
    </xf>
    <xf numFmtId="0" fontId="9" fillId="7" borderId="3" applyAlignment="1" pivotButton="0" quotePrefix="0" xfId="0">
      <alignment horizontal="left" vertical="top" wrapText="1"/>
    </xf>
    <xf numFmtId="0" fontId="9" fillId="4" borderId="4" applyAlignment="1" pivotButton="0" quotePrefix="0" xfId="0">
      <alignment horizontal="center" vertical="top" wrapText="1"/>
    </xf>
    <xf numFmtId="0" fontId="9" fillId="4" borderId="4" applyAlignment="1" pivotButton="0" quotePrefix="0" xfId="0">
      <alignment horizontal="left" vertical="top" wrapText="1"/>
    </xf>
    <xf numFmtId="0" fontId="9" fillId="5" borderId="4" applyAlignment="1" pivotButton="0" quotePrefix="0" xfId="0">
      <alignment horizontal="center" vertical="top" wrapText="1"/>
    </xf>
    <xf numFmtId="0" fontId="10" fillId="6" borderId="4" applyAlignment="1" pivotButton="0" quotePrefix="0" xfId="0">
      <alignment horizontal="center" vertical="top" wrapText="1"/>
    </xf>
    <xf numFmtId="0" fontId="9" fillId="7" borderId="4" applyAlignment="1" pivotButton="0" quotePrefix="0" xfId="0">
      <alignment horizontal="left" vertical="top" wrapText="1"/>
    </xf>
    <xf numFmtId="0" fontId="0" fillId="0" borderId="2" pivotButton="0" quotePrefix="0" xfId="0"/>
    <xf numFmtId="0" fontId="0" fillId="8" borderId="2" pivotButton="0" quotePrefix="0" xfId="0"/>
    <xf numFmtId="0" fontId="0" fillId="7" borderId="2" pivotButton="0" quotePrefix="0" xfId="0"/>
    <xf numFmtId="0" fontId="0" fillId="10" borderId="2" pivotButton="0" quotePrefix="0" xfId="0"/>
    <xf numFmtId="0" fontId="7" fillId="2" borderId="1" applyAlignment="1" pivotButton="0" quotePrefix="0" xfId="0">
      <alignment horizontal="center" vertical="top" wrapText="1"/>
    </xf>
    <xf numFmtId="0" fontId="11" fillId="9" borderId="2" applyAlignment="1" pivotButton="0" quotePrefix="0" xfId="0">
      <alignment horizontal="center" vertical="top"/>
    </xf>
    <xf numFmtId="0" fontId="0" fillId="0" borderId="0"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D6B2E"/>
      <rgbColor rgb="FF000080"/>
      <rgbColor rgb="FF808000"/>
      <rgbColor rgb="FF800080"/>
      <rgbColor rgb="FF008080"/>
      <rgbColor rgb="FFBFC9D1"/>
      <rgbColor rgb="FF777777"/>
      <rgbColor rgb="FF9999FF"/>
      <rgbColor rgb="FF993366"/>
      <rgbColor rgb="FFFFF7CC"/>
      <rgbColor rgb="FFF2F5F7"/>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E7EFDC"/>
      <rgbColor rgb="FFDCE9D5"/>
      <rgbColor rgb="FFFCEBD8"/>
      <rgbColor rgb="FFF7F7F7"/>
      <rgbColor rgb="FFFF99CC"/>
      <rgbColor rgb="FFCC99FF"/>
      <rgbColor rgb="FFF6DCDB"/>
      <rgbColor rgb="FF3366FF"/>
      <rgbColor rgb="FF33CCCC"/>
      <rgbColor rgb="FF99CC00"/>
      <rgbColor rgb="FFFFCC00"/>
      <rgbColor rgb="FFFF9900"/>
      <rgbColor rgb="FFFF6600"/>
      <rgbColor rgb="FF5A6B78"/>
      <rgbColor rgb="FF8A8A8A"/>
      <rgbColor rgb="FF003366"/>
      <rgbColor rgb="FF339966"/>
      <rgbColor rgb="FF003300"/>
      <rgbColor rgb="FF222222"/>
      <rgbColor rgb="FF993300"/>
      <rgbColor rgb="FF993366"/>
      <rgbColor rgb="FF333399"/>
      <rgbColor rgb="FF1F3B4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showGridLines="0" topLeftCell="A24" zoomScaleNormal="100" workbookViewId="0">
      <selection activeCell="A27" sqref="A27"/>
    </sheetView>
  </sheetViews>
  <sheetFormatPr baseColWidth="10" defaultColWidth="8.6640625" defaultRowHeight="15"/>
  <cols>
    <col width="118" customWidth="1" min="1" max="1"/>
    <col width="10" customWidth="1" min="2" max="2"/>
  </cols>
  <sheetData>
    <row r="1" ht="24" customHeight="1">
      <c r="A1" s="1" t="inlineStr">
        <is>
          <t>Cahier des charges — « JustRhythm », version native</t>
        </is>
      </c>
    </row>
    <row r="2">
      <c r="A2" s="2" t="inlineStr">
        <is>
          <t>Application iPhone d'entraînement à la précision rythmique au piano · v2.5 · rédigé par Raphaël</t>
        </is>
      </c>
    </row>
    <row r="3"/>
    <row r="4" ht="19.5" customHeight="1">
      <c r="A4" s="3" t="inlineStr">
        <is>
          <t>Le besoin</t>
        </is>
      </c>
    </row>
    <row r="5" ht="51.75" customHeight="1">
      <c r="A5" s="4" t="inlineStr">
        <is>
          <t>Je travaille ma régularité rythmique au piano. Un métronome ordinaire me dit où est le temps, mais pas de combien je suis à côté. Or les deux erreurs que je veux corriger n'ont rien à voir : un décalage systématique — je traîne ou je précipite en permanence — ne se traite pas comme une dispersion, où je suis irrégulier autour du temps. Sans mesure, je ne peux pas faire la différence, ni savoir si je progresse.</t>
        </is>
      </c>
    </row>
    <row r="6" ht="30" customHeight="1">
      <c r="A6" s="4" t="inlineStr">
        <is>
          <t>Je veux une mesure objective, en millisecondes, de l'écart entre chaque note jouée et le battement du métronome. Affichée en temps réel pendant que je joue, et résumée en chiffres.</t>
        </is>
      </c>
    </row>
    <row r="7"/>
    <row r="8" ht="19.5" customHeight="1">
      <c r="A8" s="3" t="inlineStr">
        <is>
          <t>Le principe d'affichage</t>
        </is>
      </c>
    </row>
    <row r="9" ht="51.75" customHeight="1">
      <c r="A9" s="4" t="inlineStr">
        <is>
          <t>Une ligne verticale centrale représente le battement. Le temps défile de haut en bas. Chaque note apparaît sous forme de barre, à gauche de la ligne si je suis en avance, à droite si je suis en retard, sur la ligne si je suis pile. Je dois pouvoir lire d'un coup d'œil, sans quitter le clavier des yeux plus d'une fraction de seconde, si je dérive et dans quel sens.</t>
        </is>
      </c>
    </row>
    <row r="10"/>
    <row r="11" ht="19.5" customHeight="1">
      <c r="A11" s="3" t="inlineStr">
        <is>
          <t>Ce que cette version change</t>
        </is>
      </c>
    </row>
    <row r="12" ht="64.5" customHeight="1">
      <c r="A12" s="4" t="inlineStr">
        <is>
          <t>Une première version fonctionnelle existe. Elle porte une identité graphique inventée — palette propre, polices importées, cadres dessinés à la main. Cela se voit, et cela ne ressemble à aucune application iPhone. Je veux repartir sur une interface qui emploie exclusivement le vocabulaire visuel du système, d'abord parce que c'est plus lisible et plus cohérent avec le reste du téléphone, ensuite parce que j'envisage de publier l'application sur l'App Store et qu'une interface exotique y est un handicap.</t>
        </is>
      </c>
    </row>
    <row r="13" ht="51.75" customHeight="1">
      <c r="A13" s="4" t="inlineStr">
        <is>
          <t>Deuxième changement : les réglages quittent l'écran de mesure. Je distingue ce que je touche au milieu d'un morceau — tempo, clic, volume — de ce que je fixe une fois puis que j'oublie — clavier, alignement, tolérance. Les premiers restent sous les yeux, les seconds passent derrière un bouton d'engrenage, comme partout ailleurs sur iOS.</t>
        </is>
      </c>
    </row>
    <row r="14" ht="39" customHeight="1">
      <c r="A14" s="4" t="inlineStr">
        <is>
          <t>Troisième changement : le périmètre est resserré. Ce document ne décrit que ce qui est réellement à construire. Les fonctions reportées figurent en phase 2 ; les fonctions écartées après essai sont dans l'onglet Risques et décisions, avec leurs raisons.</t>
        </is>
      </c>
    </row>
    <row r="15"/>
    <row r="16" ht="19.5" customHeight="1">
      <c r="A16" s="3" t="inlineStr">
        <is>
          <t>Pourquoi une application native, et pas une page web</t>
        </is>
      </c>
    </row>
    <row r="17" ht="30" customHeight="1">
      <c r="A17" s="4" t="inlineStr">
        <is>
          <t>Safari sur iPhone n'implémente pas Web MIDI : une page web ne peut pas lire mon clavier. Une application native accède au MIDI par CoreMIDI, quel que soit le transport, et dispose d'une horloge audio fiable.</t>
        </is>
      </c>
    </row>
    <row r="18"/>
    <row r="19" ht="19.5" customHeight="1">
      <c r="A19" s="3" t="inlineStr">
        <is>
          <t>Pourquoi le MIDI, et pas le micro</t>
        </is>
      </c>
    </row>
    <row r="20" ht="51.75" customHeight="1">
      <c r="A20" s="4" t="inlineStr">
        <is>
          <t>Une version antérieure écoutait le piano au micro. Deux défauts rédhibitoires : la détection d'attaque se règle à la main et se trompe, et surtout la chaîne audio d'entrée ajoute un retard de 20 à 80 ms, inconnu et variable — exactement la grandeur que je cherche à mesurer. Le MIDI donne l'instant de la frappe horodaté par le système, sans ambiguïté et sans réglage.</t>
        </is>
      </c>
    </row>
    <row r="21"/>
    <row r="22" ht="19.5" customHeight="1">
      <c r="A22" s="3" t="inlineStr">
        <is>
          <t>Qui, où, quand</t>
        </is>
      </c>
    </row>
    <row r="23" ht="39" customHeight="1">
      <c r="A23" s="4" t="inlineStr">
        <is>
          <t>Moi seul dans un premier temps, pianiste amateur adulte, en travail personnel. L'iPhone est posé sur le pupitre, à un mètre. Séances de 10 à 45 minutes. Si l'application est publiée, les utilisateurs visés sont des pianistes amateurs équipés d'un clavier MIDI.</t>
        </is>
      </c>
    </row>
    <row r="24"/>
    <row r="25" ht="19.5" customHeight="1">
      <c r="A25" s="3" t="inlineStr">
        <is>
          <t>Ce qui est hors périmètre</t>
        </is>
      </c>
    </row>
    <row r="26" ht="39" customHeight="1">
      <c r="A26" s="4" t="inlineStr">
        <is>
          <t>Pas de lecture ni de suivi de partition. Pas de jugement sur les hauteurs jouées : une fausse note bien en place est comptée comme juste rythmiquement. Pas d'enregistrement audio. Pas de compte en ligne ni de partage. Pas de version iPad, Apple Watch ou Android.</t>
        </is>
      </c>
    </row>
    <row r="27"/>
    <row r="28" ht="19.5" customHeight="1">
      <c r="A28" s="3" t="inlineStr">
        <is>
          <t>Critère de réussite</t>
        </is>
      </c>
    </row>
    <row r="29" ht="39" customHeight="1">
      <c r="A29" s="4" t="inlineStr">
        <is>
          <t>À la fin d'une séance je sais : si je suis en moyenne en avance ou en retard, de combien, et si ma dispersion diminue par rapport à la séance précédente. Et un utilisateur qui ouvre l'application sans explication doit comprendre le graphe en quelques secondes.</t>
        </is>
      </c>
    </row>
    <row r="30"/>
    <row r="31" ht="19.5" customHeight="1">
      <c r="A31" s="3" t="inlineStr">
        <is>
          <t>Comment lire et ajuster ce document</t>
        </is>
      </c>
    </row>
    <row r="32" ht="39" customHeight="1">
      <c r="A32" s="4" t="inlineStr">
        <is>
          <t>L'onglet Exigences contient une ligne par besoin. La colonne « Phase » vaut 1 pour ce qui est à construire maintenant, 2 pour ce qui est reporté. Un 2 n'est pas un abandon : c'est une exigence valide, décrite, que je rouvrirai plus tard. Les colonnes sur fond jaune sont les miennes.</t>
        </is>
      </c>
    </row>
    <row r="33" ht="39" customHeight="1">
      <c r="A33" s="4" t="inlineStr">
        <is>
          <t>L'onglet Paramètres regroupe les valeurs chiffrées, qui sont des points de départ et non des contraintes. L'onglet Risques et décisions garde la trace des choix déjà tranchés, y compris de deux fonctions construites puis retirées — pour ne pas les rejouer.</t>
        </is>
      </c>
    </row>
    <row r="34"/>
    <row r="35" ht="19.5" customHeight="1">
      <c r="A35" s="3" t="inlineStr">
        <is>
          <t>Priorités</t>
        </is>
      </c>
    </row>
    <row r="36" ht="30" customHeight="1">
      <c r="A36" s="4" t="inlineStr">
        <is>
          <t>Indispensable — sans cela l'application ne répond pas au besoin.    Important — attendu, mais l'application reste utilisable sans.    Souhaitable — bienvenu, reportable.</t>
        </is>
      </c>
    </row>
    <row r="37"/>
    <row r="38" ht="19.5" customHeight="1">
      <c r="A38" s="3" t="inlineStr">
        <is>
          <t>Charge estimée</t>
        </is>
      </c>
    </row>
    <row r="39" ht="51.75" customHeight="1">
      <c r="A39" s="4" t="inlineStr">
        <is>
          <t>Phase 1 : une vingtaine d'heures pour quelqu'un qui découvre SwiftUI, réparties sur une dizaine de séances. Le temps ne va pas majoritairement à écrire du code : environ un quart à la saisie, un tiers à comprendre quand et pourquoi SwiftUI redessine une vue, un quart à lire des erreurs de compilation, le reste en friction Xcode — signature, aperçus figés, appareil non détecté.</t>
        </is>
      </c>
    </row>
    <row r="40"/>
    <row r="41" ht="19.5" customHeight="1">
      <c r="A41" s="3" t="inlineStr">
        <is>
          <t>Journal des versions</t>
        </is>
      </c>
    </row>
    <row r="42" ht="82" customHeight="1">
      <c r="A42" s="4" t="inlineStr">
        <is>
          <t>v2.5 — L'iPhone comme voix de l'instrument, et un retour qui suit le geste. Nouvelle section « Instrument » (EX-133), distincte du retour clavier : le téléphone sonorise lui-même toutes les notes reçues, avec l'un de cinq timbres synthétisés, si bien que les notes et le clic sortent du même haut-parleur au terme du même chemin — plus rien à corriger entre les deux. La note du retour clavier part désormais à l'appui et s'éteint au lever (EX-130 / EX-131) : plus aucune durée n'est calculée, après l'échec des 150 ms fixes puis des deux tiers de subdivision, qui polluaient dès la double-croche. Les réglages sont renommés pour dire ce qui se passe et non le bénéfice espéré. Une fonction retirée après essai : le ping de récompense sur le haut-parleur.</t>
        </is>
      </c>
    </row>
    <row r="43" ht="82" customHeight="1">
      <c r="A43" s="4" t="inlineStr">
        <is>
          <t>v2.4 — Lecture instantanée sur la fourchette glissante. L'écart de la dernière note, trop instable pour qu'on s'y fie en jouant, cède la place à trois voyants façon accordeur, alimentés par la moyenne et la dispersion des 16 dernières notes (EX-066 / EX-089, cette dernière passant en phase 1) : les deux côtés s'allument séparément, ce qui distingue un décalage systématique d'un jeu irrégulier. Le tempo reçu du clavier est désormais adopté par l'application et conservé après l'arrêt, les commandes de tempo étant neutralisées tant que l'horloge pilote (EX-054). Un changement de tempo au clavier est désormais suivi en un temps au lieu d'une vingtaine.</t>
        </is>
      </c>
    </row>
    <row r="44" ht="82" customHeight="1">
      <c r="A44" s="4" t="inlineStr">
        <is>
          <t>v2.3 — Zone juste et échelle rapportées à la subdivision. La zone « juste » s'exprime en pourcentage de la subdivision plutôt qu'en millisecondes absolues, avec un plancher à 20 ms (EX-063) : elle se resserre d'elle-même quand la grille s'affine, sans jamais exiger mieux que le seuil de perception. L'échelle du graphe est bornée à la demi-subdivision, seule plage qu'un écart puisse atteindre, le curseur ne servant plus qu'à resserrer (EX-067). Les deux suivent l'horloge du clavier quand elle est suivie, et non le tempo réglé à la main.</t>
        </is>
      </c>
    </row>
    <row r="45" ht="68" customHeight="1">
      <c r="A45" s="4" t="inlineStr">
        <is>
          <t>v2.2 — Fiabilité du suivi d'horloge, canaux MIDI multiples. Corrige deux bugs de la synchronisation sur l'horloge du clavier (EX-053 / EX-054) : une course sans verrou sur l'état de la grille, et une amplification du bruit de mesure par stepIndex qui faisait dériver la synchro de quelques ms à un décalage important en quelques dizaines de secondes. Le bouton Start se désactive tant que la synchro attend son déclenchement par le clavier. L'écoute MIDI accepte maintenant plusieurs canaux à la fois, pas un seul (EX-017).</t>
        </is>
      </c>
    </row>
    <row r="46" ht="51.75" customHeight="1">
      <c r="A46" s="4" t="inlineStr">
        <is>
          <t>v2.1 — Localisation anglais/français, retour de justesse, fusion synchro. Base anglaise avec traduction française automatique selon la langue de l'iPhone (catalogue de chaînes Localizable.xcstrings) ; notation des notes adaptée à la langue (lettres C/D/E… ou solfège Do/Ré/Mi selon le cas). Ajout d'un retour de justesse optionnel sur l'instrument, en deux modes : note doublée à l'octave ou note muette si imprécise (EX-130 / EX-131). Fusion du suivi d'horloge MIDI dans le réglage de démarrage synchronisé (EX-053 / EX-054) : plus de bascule séparée.</t>
        </is>
      </c>
    </row>
    <row r="47" ht="30" customHeight="1">
      <c r="A47" s="4" t="inlineStr">
        <is>
          <t>v2.0 — Version native. Refonte complète de l'interface en vocabulaire système ; nouveau bloc d'exigences « Style et plateforme » (EX-110 à EX-118) ; séparation des réglages d'usage et de configuration (EX-096) ; ajout d'un bloc « Publication » (EX-120 à EX-124). Périmètre resserré à 40 exigences en phase 1. Deux fonctions retirées après essai : retour haptique et portrait inversé.</t>
        </is>
      </c>
    </row>
    <row r="48">
      <c r="A48" s="4" t="inlineStr">
        <is>
          <t>v1.0 à v1.3 — Versions antérieures, interface à identité graphique propre. Conservées pour mémoire, plus maintenues.</t>
        </is>
      </c>
    </row>
    <row r="49"/>
    <row r="50">
      <c r="A50" s="3" t="inlineStr">
        <is>
          <t>Synthèse (calculée depuis l'onglet Exigences)</t>
        </is>
      </c>
    </row>
    <row r="51">
      <c r="A51" s="5" t="inlineStr">
        <is>
          <t>Phase 1 — Indispensable</t>
        </is>
      </c>
      <c r="B51" s="6">
        <f>COUNTIFS(Exigences!$E$3:$E$200,"Indispensable",Exigences!$G$3:$G$200,"1")</f>
        <v/>
      </c>
    </row>
    <row r="52">
      <c r="A52" s="5" t="inlineStr">
        <is>
          <t>Phase 1 — Important</t>
        </is>
      </c>
      <c r="B52" s="6">
        <f>COUNTIFS(Exigences!$E$3:$E$200,"Important",Exigences!$G$3:$G$200,"1")</f>
        <v/>
      </c>
    </row>
    <row r="53">
      <c r="A53" s="5" t="inlineStr">
        <is>
          <t>Phase 1 — Souhaitable</t>
        </is>
      </c>
      <c r="B53" s="6">
        <f>COUNTIFS(Exigences!$E$3:$E$200,"Souhaitable",Exigences!$G$3:$G$200,"1")</f>
        <v/>
      </c>
    </row>
    <row r="54">
      <c r="A54" s="5" t="inlineStr">
        <is>
          <t>Phase 1 — total</t>
        </is>
      </c>
      <c r="B54" s="6">
        <f>COUNTIF(Exigences!$G$3:$G$200,"1")</f>
        <v/>
      </c>
    </row>
    <row r="55">
      <c r="A55" s="5" t="inlineStr">
        <is>
          <t>Phase 2 — reporté</t>
        </is>
      </c>
      <c r="B55" s="6">
        <f>COUNTIF(Exigences!$G$3:$G$200,"2")</f>
        <v/>
      </c>
    </row>
    <row r="56">
      <c r="A56" s="5" t="inlineStr">
        <is>
          <t>Total décrit</t>
        </is>
      </c>
      <c r="B56" s="6">
        <f>COUNTA(Exigences!$A$3:$A$200)</f>
        <v/>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86"/>
  <sheetViews>
    <sheetView showGridLines="0" tabSelected="1" zoomScaleNormal="100" workbookViewId="0">
      <pane xSplit="2" ySplit="1" topLeftCell="D77" activePane="bottomRight" state="frozen"/>
      <selection pane="topRight" activeCell="C1" sqref="C1"/>
      <selection pane="bottomLeft" activeCell="A23" sqref="A23"/>
      <selection pane="bottomRight" activeCell="D105" sqref="D105"/>
    </sheetView>
  </sheetViews>
  <sheetFormatPr baseColWidth="10" defaultColWidth="8.6640625" defaultRowHeight="15"/>
  <cols>
    <col width="9" customWidth="1" min="1" max="1"/>
    <col width="18" customWidth="1" min="2" max="2"/>
    <col width="70.6640625" bestFit="1" customWidth="1" min="3" max="3"/>
    <col width="201.33203125" bestFit="1" customWidth="1" min="4" max="4"/>
    <col width="14" customWidth="1" min="5" max="5"/>
    <col width="24" customWidth="1" min="6" max="6"/>
    <col width="8" customWidth="1" style="39" min="7" max="7"/>
    <col width="58.6640625" bestFit="1" customWidth="1" min="8" max="8"/>
  </cols>
  <sheetData>
    <row r="1" ht="30" customHeight="1">
      <c r="A1" s="7" t="inlineStr">
        <is>
          <t>ID</t>
        </is>
      </c>
      <c r="B1" s="7" t="inlineStr">
        <is>
          <t>Thème</t>
        </is>
      </c>
      <c r="C1" s="7" t="inlineStr">
        <is>
          <t>Exigence (formulée par moi)</t>
        </is>
      </c>
      <c r="D1" s="7" t="inlineStr">
        <is>
          <t>Critère d'acceptation</t>
        </is>
      </c>
      <c r="E1" s="7" t="inlineStr">
        <is>
          <t>Priorité</t>
        </is>
      </c>
      <c r="F1" s="7" t="inlineStr">
        <is>
          <t>Réglage / valeur</t>
        </is>
      </c>
      <c r="G1" s="37" t="inlineStr">
        <is>
          <t>Phase</t>
        </is>
      </c>
      <c r="H1" s="7" t="inlineStr">
        <is>
          <t>Mes notes</t>
        </is>
      </c>
    </row>
    <row r="2" ht="27.75" customHeight="1">
      <c r="A2" s="8" t="inlineStr">
        <is>
          <t>EX-000</t>
        </is>
      </c>
      <c r="B2" s="9" t="inlineStr">
        <is>
          <t>Exemple</t>
        </is>
      </c>
      <c r="C2" s="9" t="inlineStr">
        <is>
          <t>Ligne d'exemple montrant le format attendu — à supprimer.</t>
        </is>
      </c>
      <c r="D2" s="9" t="inlineStr">
        <is>
          <t>Ce que je vérifie concrètement pour dire que c'est fait.</t>
        </is>
      </c>
      <c r="E2" s="8" t="inlineStr">
        <is>
          <t>Important</t>
        </is>
      </c>
      <c r="F2" s="9" t="inlineStr">
        <is>
          <t>valeur</t>
        </is>
      </c>
      <c r="G2" s="8" t="inlineStr">
        <is>
          <t>—</t>
        </is>
      </c>
      <c r="H2" s="9" t="inlineStr">
        <is>
          <t>mes notes ici</t>
        </is>
      </c>
    </row>
    <row r="3" ht="27.75" customHeight="1">
      <c r="A3" s="10" t="inlineStr">
        <is>
          <t>EX-001</t>
        </is>
      </c>
      <c r="B3" s="11" t="inlineStr">
        <is>
          <t>Cadre</t>
        </is>
      </c>
      <c r="C3" s="11" t="inlineStr">
        <is>
          <t>Application iPhone native, installée sur mon téléphone.</t>
        </is>
      </c>
      <c r="D3" s="11" t="inlineStr">
        <is>
          <t>Swift et SwiftUI, cible iOS 17 minimum.</t>
        </is>
      </c>
      <c r="E3" s="12" t="inlineStr">
        <is>
          <t>Indispensable</t>
        </is>
      </c>
      <c r="F3" s="11" t="inlineStr">
        <is>
          <t>iOS 17+</t>
        </is>
      </c>
      <c r="G3" s="13" t="inlineStr">
        <is>
          <t>1</t>
        </is>
      </c>
      <c r="H3" s="14" t="n"/>
    </row>
    <row r="4" ht="27.75" customHeight="1">
      <c r="A4" s="15" t="inlineStr">
        <is>
          <t>EX-002</t>
        </is>
      </c>
      <c r="B4" s="16" t="inlineStr">
        <is>
          <t>Cadre</t>
        </is>
      </c>
      <c r="C4" s="16" t="inlineStr">
        <is>
          <t>L'application fonctionne entièrement hors ligne.</t>
        </is>
      </c>
      <c r="D4" s="16" t="inlineStr">
        <is>
          <t>Aucun appel réseau, aucun compte. Vérifiable en mode avion.</t>
        </is>
      </c>
      <c r="E4" s="12" t="inlineStr">
        <is>
          <t>Indispensable</t>
        </is>
      </c>
      <c r="F4" s="16" t="inlineStr">
        <is>
          <t>—</t>
        </is>
      </c>
      <c r="G4" s="13" t="inlineStr">
        <is>
          <t>1</t>
        </is>
      </c>
      <c r="H4" s="14" t="n"/>
    </row>
    <row r="5" ht="27.75" customHeight="1">
      <c r="A5" s="10" t="inlineStr">
        <is>
          <t>EX-003</t>
        </is>
      </c>
      <c r="B5" s="11" t="inlineStr">
        <is>
          <t>Cadre</t>
        </is>
      </c>
      <c r="C5" s="11" t="inlineStr">
        <is>
          <t>L'application s'affiche dans la langue réglée sur mon iPhone, sans réglage à faire dans l'app.</t>
        </is>
      </c>
      <c r="D5" s="11" t="inlineStr">
        <is>
          <t>Anglais par défaut (langue source), français traduit automatiquement quand l'iPhone est en français ; écarts en millisecondes, identiques dans les deux langues ; notes nommées en lettres (C, D, E…) sauf en français, où elles restent en solfège (Do, Ré, Mi).</t>
        </is>
      </c>
      <c r="E5" s="12" t="inlineStr">
        <is>
          <t>Indispensable</t>
        </is>
      </c>
      <c r="F5" s="11" t="inlineStr">
        <is>
          <t>suit iOS</t>
        </is>
      </c>
      <c r="G5" s="13" t="inlineStr">
        <is>
          <t>1</t>
        </is>
      </c>
      <c r="H5" s="14" t="inlineStr">
        <is>
          <t>catalogue de chaînes (Localizable.xcstrings), testé en simulateur le 28/07/2026</t>
        </is>
      </c>
    </row>
    <row r="6" ht="27.75" customHeight="1">
      <c r="A6" s="15" t="inlineStr">
        <is>
          <t>EX-004</t>
        </is>
      </c>
      <c r="B6" s="16" t="inlineStr">
        <is>
          <t>Cadre</t>
        </is>
      </c>
      <c r="C6" s="16" t="inlineStr">
        <is>
          <t>L'application s'utilise en portrait, téléphone posé sur le pupitre.</t>
        </is>
      </c>
      <c r="D6" s="16" t="inlineStr">
        <is>
          <t>Portrait verrouillé. Pas d'iPad ni de paysage.</t>
        </is>
      </c>
      <c r="E6" s="17" t="inlineStr">
        <is>
          <t>Important</t>
        </is>
      </c>
      <c r="F6" s="16" t="inlineStr">
        <is>
          <t>portrait</t>
        </is>
      </c>
      <c r="G6" s="13" t="inlineStr">
        <is>
          <t>1</t>
        </is>
      </c>
      <c r="H6" s="14" t="n"/>
    </row>
    <row r="7" ht="45.75" customHeight="1">
      <c r="A7" s="10" t="inlineStr">
        <is>
          <t>EX-110</t>
        </is>
      </c>
      <c r="B7" s="11" t="inlineStr">
        <is>
          <t>Style</t>
        </is>
      </c>
      <c r="C7" s="11" t="inlineStr">
        <is>
          <t>L'application doit ressembler à une application Apple, pas à une interface plaquée par-dessus iOS.</t>
        </is>
      </c>
      <c r="D7" s="11" t="inlineStr">
        <is>
          <t>Vocabulaire visuel du système : listes groupées, feuilles modales, barre de navigation, contrôles standard. Un utilisateur qui l'ouvre doit la trouver familière avant de la trouver jolie.</t>
        </is>
      </c>
      <c r="E7" s="12" t="inlineStr">
        <is>
          <t>Indispensable</t>
        </is>
      </c>
      <c r="F7" s="11" t="inlineStr">
        <is>
          <t>—</t>
        </is>
      </c>
      <c r="G7" s="13" t="inlineStr">
        <is>
          <t>1</t>
        </is>
      </c>
      <c r="H7" s="14" t="n"/>
    </row>
    <row r="8" ht="34.5" customHeight="1">
      <c r="A8" s="15" t="inlineStr">
        <is>
          <t>EX-111</t>
        </is>
      </c>
      <c r="B8" s="16" t="inlineStr">
        <is>
          <t>Style</t>
        </is>
      </c>
      <c r="C8" s="16" t="inlineStr">
        <is>
          <t>Aucune couleur inventée : uniquement des couleurs sémantiques du système.</t>
        </is>
      </c>
      <c r="D8" s="16" t="inlineStr">
        <is>
          <t>Fonds, séparateurs et textes tirés des couleurs système. Aucune valeur hexadécimale codée en dur pour les surfaces et les textes.</t>
        </is>
      </c>
      <c r="E8" s="12" t="inlineStr">
        <is>
          <t>Indispensable</t>
        </is>
      </c>
      <c r="F8" s="16" t="inlineStr">
        <is>
          <t>—</t>
        </is>
      </c>
      <c r="G8" s="13" t="inlineStr">
        <is>
          <t>1</t>
        </is>
      </c>
      <c r="H8" s="14" t="n"/>
    </row>
    <row r="9" ht="27.75" customHeight="1">
      <c r="A9" s="10" t="inlineStr">
        <is>
          <t>EX-112</t>
        </is>
      </c>
      <c r="B9" s="11" t="inlineStr">
        <is>
          <t>Style</t>
        </is>
      </c>
      <c r="C9" s="11" t="inlineStr">
        <is>
          <t>L'application suit le thème clair ou sombre choisi dans iOS.</t>
        </is>
      </c>
      <c r="D9" s="11" t="inlineStr">
        <is>
          <t>Les deux modes sont lisibles sans réglage propre à l'application, et sans thème imposé.</t>
        </is>
      </c>
      <c r="E9" s="12" t="inlineStr">
        <is>
          <t>Indispensable</t>
        </is>
      </c>
      <c r="F9" s="11" t="inlineStr">
        <is>
          <t>—</t>
        </is>
      </c>
      <c r="G9" s="13" t="inlineStr">
        <is>
          <t>1</t>
        </is>
      </c>
      <c r="H9" s="14" t="n"/>
    </row>
    <row r="10" ht="34.5" customHeight="1">
      <c r="A10" s="15" t="inlineStr">
        <is>
          <t>EX-113</t>
        </is>
      </c>
      <c r="B10" s="16" t="inlineStr">
        <is>
          <t>Style</t>
        </is>
      </c>
      <c r="C10" s="16" t="inlineStr">
        <is>
          <t>Typographie du système, pas de police importée.</t>
        </is>
      </c>
      <c r="D10" s="16" t="inlineStr">
        <is>
          <t>San Francisco via les styles de texte standard. Chiffres à chasse fixe partout où une valeur change en direct, pour éviter que l'affichage ne tressaute.</t>
        </is>
      </c>
      <c r="E10" s="12" t="inlineStr">
        <is>
          <t>Indispensable</t>
        </is>
      </c>
      <c r="F10" s="16" t="inlineStr">
        <is>
          <t>—</t>
        </is>
      </c>
      <c r="G10" s="13" t="inlineStr">
        <is>
          <t>1</t>
        </is>
      </c>
      <c r="H10" s="14" t="n"/>
    </row>
    <row r="11" ht="27.75" customHeight="1">
      <c r="A11" s="10" t="inlineStr">
        <is>
          <t>EX-114</t>
        </is>
      </c>
      <c r="B11" s="11" t="inlineStr">
        <is>
          <t>Style</t>
        </is>
      </c>
      <c r="C11" s="11" t="inlineStr">
        <is>
          <t>Les icônes viennent du jeu du système.</t>
        </is>
      </c>
      <c r="D11" s="11" t="inlineStr">
        <is>
          <t>SF Symbols uniquement, sans image importée hormis l'icône de l'application.</t>
        </is>
      </c>
      <c r="E11" s="17" t="inlineStr">
        <is>
          <t>Important</t>
        </is>
      </c>
      <c r="F11" s="11" t="inlineStr">
        <is>
          <t>—</t>
        </is>
      </c>
      <c r="G11" s="13" t="inlineStr">
        <is>
          <t>1</t>
        </is>
      </c>
      <c r="H11" s="14" t="n"/>
    </row>
    <row r="12" ht="27.75" customHeight="1">
      <c r="A12" s="15" t="inlineStr">
        <is>
          <t>EX-115</t>
        </is>
      </c>
      <c r="B12" s="16" t="inlineStr">
        <is>
          <t>Style</t>
        </is>
      </c>
      <c r="C12" s="16" t="inlineStr">
        <is>
          <t>Les boutons sont des boutons standard.</t>
        </is>
      </c>
      <c r="D12" s="16" t="inlineStr">
        <is>
          <t>Styles proéminent et bordé du système, tailles de contrôle standard. Aucun bouton dessiné à la main.</t>
        </is>
      </c>
      <c r="E12" s="17" t="inlineStr">
        <is>
          <t>Important</t>
        </is>
      </c>
      <c r="F12" s="16" t="inlineStr">
        <is>
          <t>—</t>
        </is>
      </c>
      <c r="G12" s="13" t="inlineStr">
        <is>
          <t>1</t>
        </is>
      </c>
      <c r="H12" s="14" t="n"/>
    </row>
    <row r="13" ht="27.75" customHeight="1">
      <c r="A13" s="10" t="inlineStr">
        <is>
          <t>EX-116</t>
        </is>
      </c>
      <c r="B13" s="11" t="inlineStr">
        <is>
          <t>Style</t>
        </is>
      </c>
      <c r="C13" s="11" t="inlineStr">
        <is>
          <t>Les tailles de texte dynamiques sont respectées.</t>
        </is>
      </c>
      <c r="D13" s="11" t="inlineStr">
        <is>
          <t>Mise en page tenable des plus petites tailles aux grandes tailles d'accessibilité.</t>
        </is>
      </c>
      <c r="E13" s="17" t="inlineStr">
        <is>
          <t>Important</t>
        </is>
      </c>
      <c r="F13" s="11" t="inlineStr">
        <is>
          <t>—</t>
        </is>
      </c>
      <c r="G13" s="13" t="inlineStr">
        <is>
          <t>1</t>
        </is>
      </c>
      <c r="H13" s="14" t="n"/>
    </row>
    <row r="14" ht="34.5" customHeight="1">
      <c r="A14" s="15" t="inlineStr">
        <is>
          <t>EX-117</t>
        </is>
      </c>
      <c r="B14" s="16" t="inlineStr">
        <is>
          <t>Style</t>
        </is>
      </c>
      <c r="C14" s="16" t="inlineStr">
        <is>
          <t>Le sens d'une information n'est jamais porté par la couleur seule.</t>
        </is>
      </c>
      <c r="D14" s="16" t="inlineStr">
        <is>
          <t>L'avance et le retard se lisent d'abord à la position sur le graphe. La couleur ne fait que doubler l'information. Vérifiable en simulant un daltonisme.</t>
        </is>
      </c>
      <c r="E14" s="12" t="inlineStr">
        <is>
          <t>Indispensable</t>
        </is>
      </c>
      <c r="F14" s="16" t="inlineStr">
        <is>
          <t>—</t>
        </is>
      </c>
      <c r="G14" s="13" t="inlineStr">
        <is>
          <t>1</t>
        </is>
      </c>
      <c r="H14" s="14" t="n"/>
    </row>
    <row r="15" ht="27.75" customHeight="1">
      <c r="A15" s="10" t="inlineStr">
        <is>
          <t>EX-118</t>
        </is>
      </c>
      <c r="B15" s="11" t="inlineStr">
        <is>
          <t>Style</t>
        </is>
      </c>
      <c r="C15" s="11" t="inlineStr">
        <is>
          <t>Le réglage système « Réduire les animations » est respecté.</t>
        </is>
      </c>
      <c r="D15" s="11" t="inlineStr">
        <is>
          <t>Pulsations et transitions supprimées, information complète conservée.</t>
        </is>
      </c>
      <c r="E15" s="17" t="inlineStr">
        <is>
          <t>Important</t>
        </is>
      </c>
      <c r="F15" s="11" t="inlineStr">
        <is>
          <t>—</t>
        </is>
      </c>
      <c r="G15" s="13" t="inlineStr">
        <is>
          <t>1</t>
        </is>
      </c>
      <c r="H15" s="14" t="n"/>
    </row>
    <row r="16" ht="45.75" customHeight="1">
      <c r="A16" s="15" t="inlineStr">
        <is>
          <t>EX-096</t>
        </is>
      </c>
      <c r="B16" s="16" t="inlineStr">
        <is>
          <t>Organisation</t>
        </is>
      </c>
      <c r="C16" s="16" t="inlineStr">
        <is>
          <t>Je veux séparer ce que je touche en jouant de ce que je règle une fois.</t>
        </is>
      </c>
      <c r="D16" s="16" t="inlineStr">
        <is>
          <t>Sur l'écran de mesure : tempo, clic, volume, marche/arrêt. Derrière un bouton d'engrenage : clavier, alignement, tolérance, effacement des statistiques. La feuille de réglages est une feuille modale standard, refermable d'un geste.</t>
        </is>
      </c>
      <c r="E16" s="12" t="inlineStr">
        <is>
          <t>Indispensable</t>
        </is>
      </c>
      <c r="F16" s="16" t="inlineStr">
        <is>
          <t>—</t>
        </is>
      </c>
      <c r="G16" s="13" t="inlineStr">
        <is>
          <t>1</t>
        </is>
      </c>
      <c r="H16" s="14" t="n"/>
    </row>
    <row r="17" ht="27.75" customHeight="1">
      <c r="A17" s="10" t="inlineStr">
        <is>
          <t>EX-097</t>
        </is>
      </c>
      <c r="B17" s="11" t="inlineStr">
        <is>
          <t>Organisation</t>
        </is>
      </c>
      <c r="C17" s="11" t="inlineStr">
        <is>
          <t>Les explications vivent dans les réglages, pas sur l'écran de mesure.</t>
        </is>
      </c>
      <c r="D17" s="11" t="inlineStr">
        <is>
          <t>Chaque section de réglage porte une note explicative en bas de section. L'écran de mesure ne contient aucun texte d'aide.</t>
        </is>
      </c>
      <c r="E17" s="17" t="inlineStr">
        <is>
          <t>Important</t>
        </is>
      </c>
      <c r="F17" s="11" t="inlineStr">
        <is>
          <t>—</t>
        </is>
      </c>
      <c r="G17" s="13" t="inlineStr">
        <is>
          <t>1</t>
        </is>
      </c>
      <c r="H17" s="14" t="n"/>
    </row>
    <row r="18" ht="27.75" customHeight="1">
      <c r="A18" s="15" t="inlineStr">
        <is>
          <t>EX-010</t>
        </is>
      </c>
      <c r="B18" s="16" t="inlineStr">
        <is>
          <t>Entrée MIDI</t>
        </is>
      </c>
      <c r="C18" s="16" t="inlineStr">
        <is>
          <t>L'entrée se fait exclusivement par MIDI. Le micro n'est pas utilisé.</t>
        </is>
      </c>
      <c r="D18" s="16" t="inlineStr">
        <is>
          <t>Aucune permission micro demandée par l'application.</t>
        </is>
      </c>
      <c r="E18" s="12" t="inlineStr">
        <is>
          <t>Indispensable</t>
        </is>
      </c>
      <c r="F18" s="16" t="inlineStr">
        <is>
          <t>—</t>
        </is>
      </c>
      <c r="G18" s="13" t="inlineStr">
        <is>
          <t>1</t>
        </is>
      </c>
      <c r="H18" s="14" t="n"/>
    </row>
    <row r="19" ht="27.75" customHeight="1">
      <c r="A19" s="10" t="inlineStr">
        <is>
          <t>EX-012</t>
        </is>
      </c>
      <c r="B19" s="11" t="inlineStr">
        <is>
          <t>Entrée MIDI</t>
        </is>
      </c>
      <c r="C19" s="11" t="inlineStr">
        <is>
          <t>Je vois la liste des claviers disponibles et j'en choisis un.</t>
        </is>
      </c>
      <c r="D19" s="11" t="inlineStr">
        <is>
          <t>Sélecteur dans les réglages, avec le nom lisible de chaque source.</t>
        </is>
      </c>
      <c r="E19" s="12" t="inlineStr">
        <is>
          <t>Indispensable</t>
        </is>
      </c>
      <c r="F19" s="11" t="inlineStr">
        <is>
          <t>1re source</t>
        </is>
      </c>
      <c r="G19" s="13" t="inlineStr">
        <is>
          <t>1</t>
        </is>
      </c>
      <c r="H19" s="14" t="n"/>
    </row>
    <row r="20" ht="27.75" customHeight="1">
      <c r="A20" s="15" t="inlineStr">
        <is>
          <t>EX-016</t>
        </is>
      </c>
      <c r="B20" s="16" t="inlineStr">
        <is>
          <t>Entrée MIDI</t>
        </is>
      </c>
      <c r="C20" s="16" t="inlineStr">
        <is>
          <t>Seules mes frappes réelles sont comptées.</t>
        </is>
      </c>
      <c r="D20" s="16" t="inlineStr">
        <is>
          <t>Note On de vélocité non nulle uniquement. Note Off, pédale (CC64), aftertouch, pitch bend et messages système ignorés.</t>
        </is>
      </c>
      <c r="E20" s="12" t="inlineStr">
        <is>
          <t>Indispensable</t>
        </is>
      </c>
      <c r="F20" s="16" t="inlineStr">
        <is>
          <t>—</t>
        </is>
      </c>
      <c r="G20" s="13" t="inlineStr">
        <is>
          <t>1</t>
        </is>
      </c>
      <c r="H20" s="14" t="n"/>
    </row>
    <row r="21" ht="27.75" customHeight="1">
      <c r="A21" s="10" t="inlineStr">
        <is>
          <t>EX-019</t>
        </is>
      </c>
      <c r="B21" s="11" t="inlineStr">
        <is>
          <t>Entrée MIDI</t>
        </is>
      </c>
      <c r="C21" s="11" t="inlineStr">
        <is>
          <t>Un témoin me confirme que l'application reçoit bien mon clavier, même métronome à l'arrêt.</t>
        </is>
      </c>
      <c r="D21" s="11" t="inlineStr">
        <is>
          <t>Nom de la dernière note reçue, visible sur l'écran et dans les réglages.</t>
        </is>
      </c>
      <c r="E21" s="17" t="inlineStr">
        <is>
          <t>Important</t>
        </is>
      </c>
      <c r="F21" s="11" t="inlineStr">
        <is>
          <t>—</t>
        </is>
      </c>
      <c r="G21" s="13" t="inlineStr">
        <is>
          <t>1</t>
        </is>
      </c>
      <c r="H21" s="14" t="n"/>
    </row>
    <row r="22" ht="34.5" customHeight="1">
      <c r="A22" s="15" t="inlineStr">
        <is>
          <t>EX-020</t>
        </is>
      </c>
      <c r="B22" s="16" t="inlineStr">
        <is>
          <t>Entrée MIDI</t>
        </is>
      </c>
      <c r="C22" s="16" t="inlineStr">
        <is>
          <t>Si ma source est en Bluetooth, je veux être prévenu que la mesure en pâtit.</t>
        </is>
      </c>
      <c r="D22" s="16" t="inlineStr">
        <is>
          <t>Avertissement dans les réglages quand la source active est en Bluetooth, précisant que la moyenne est faussée mais que la régularité reste exacte.</t>
        </is>
      </c>
      <c r="E22" s="17" t="inlineStr">
        <is>
          <t>Important</t>
        </is>
      </c>
      <c r="F22" s="16" t="inlineStr">
        <is>
          <t>—</t>
        </is>
      </c>
      <c r="G22" s="13" t="inlineStr">
        <is>
          <t>1</t>
        </is>
      </c>
      <c r="H22" s="14" t="n"/>
    </row>
    <row r="23" ht="27.75" customHeight="1">
      <c r="A23" s="10" t="inlineStr">
        <is>
          <t>EX-011</t>
        </is>
      </c>
      <c r="B23" s="11" t="inlineStr">
        <is>
          <t>Entrée MIDI</t>
        </is>
      </c>
      <c r="C23" s="11" t="inlineStr">
        <is>
          <t>Je veux pouvoir brancher le clavier des trois façons : USB, Bluetooth, MIDI réseau.</t>
        </is>
      </c>
      <c r="D23" s="11" t="inlineStr">
        <is>
          <t>Les trois transports fonctionnent à l'identique.</t>
        </is>
      </c>
      <c r="E23" s="17" t="inlineStr">
        <is>
          <t>Important</t>
        </is>
      </c>
      <c r="F23" s="11" t="inlineStr">
        <is>
          <t>—</t>
        </is>
      </c>
      <c r="G23" s="18" t="inlineStr">
        <is>
          <t>3</t>
        </is>
      </c>
      <c r="H23" s="14" t="n"/>
    </row>
    <row r="24" ht="27.75" customHeight="1">
      <c r="A24" s="15" t="inlineStr">
        <is>
          <t>EX-013</t>
        </is>
      </c>
      <c r="B24" s="16" t="inlineStr">
        <is>
          <t>Entrée MIDI</t>
        </is>
      </c>
      <c r="C24" s="16" t="inlineStr">
        <is>
          <t>L'application retient le dernier clavier et s'y reconnecte seule.</t>
        </is>
      </c>
      <c r="D24" s="16" t="inlineStr">
        <is>
          <t>Au lancement suivant, le même clavier est sélectionné sans intervention. La source mémorisée reste privilégiée à chaque balayage, et pas seulement au premier : si l'application a dû se rabattre sur une autre source en attendant que le clavier soit énuméré, elle y revient dès qu'il apparaît, puis à chaque rebranchement.</t>
        </is>
      </c>
      <c r="E24" s="17" t="inlineStr">
        <is>
          <t>Important</t>
        </is>
      </c>
      <c r="F24" s="16" t="inlineStr">
        <is>
          <t>—</t>
        </is>
      </c>
      <c r="G24" s="18" t="inlineStr">
        <is>
          <t>2</t>
        </is>
      </c>
      <c r="H24" s="14" t="inlineStr">
        <is>
          <t>le repli était définitif jusqu'au 30/07/2026 : il existait encore au balayage suivant, donc rien ne ramenait jamais au clavier voulu</t>
        </is>
      </c>
    </row>
    <row r="25" ht="27.75" customHeight="1">
      <c r="A25" s="10" t="inlineStr">
        <is>
          <t>EX-014</t>
        </is>
      </c>
      <c r="B25" s="11" t="inlineStr">
        <is>
          <t>Entrée MIDI</t>
        </is>
      </c>
      <c r="C25" s="11" t="inlineStr">
        <is>
          <t>Brancher ou débrancher un clavier est pris en compte sans redémarrer.</t>
        </is>
      </c>
      <c r="D25" s="11" t="inlineStr">
        <is>
          <t>Liste mise à jour à chaud ; déconnexion en séance signalée.</t>
        </is>
      </c>
      <c r="E25" s="17" t="inlineStr">
        <is>
          <t>Important</t>
        </is>
      </c>
      <c r="F25" s="11" t="inlineStr">
        <is>
          <t>—</t>
        </is>
      </c>
      <c r="G25" s="18" t="inlineStr">
        <is>
          <t>2</t>
        </is>
      </c>
      <c r="H25" s="14" t="n"/>
    </row>
    <row r="26" ht="27.75" customHeight="1">
      <c r="A26" s="15" t="inlineStr">
        <is>
          <t>EX-015</t>
        </is>
      </c>
      <c r="B26" s="16" t="inlineStr">
        <is>
          <t>Entrée MIDI</t>
        </is>
      </c>
      <c r="C26" s="16" t="inlineStr">
        <is>
          <t>Je peux appairer un clavier Bluetooth depuis l'application.</t>
        </is>
      </c>
      <c r="D26" s="16" t="inlineStr">
        <is>
          <t>Écran d'appairage intégré, sans passer par les réglages iOS.</t>
        </is>
      </c>
      <c r="E26" s="19" t="inlineStr">
        <is>
          <t>Souhaitable</t>
        </is>
      </c>
      <c r="F26" s="16" t="inlineStr">
        <is>
          <t>—</t>
        </is>
      </c>
      <c r="G26" s="18" t="n">
        <v>3</v>
      </c>
      <c r="H26" s="14" t="n"/>
    </row>
    <row r="27" ht="27.75" customHeight="1">
      <c r="A27" s="10" t="inlineStr">
        <is>
          <t>EX-017</t>
        </is>
      </c>
      <c r="B27" s="11" t="inlineStr">
        <is>
          <t>Entrée MIDI</t>
        </is>
      </c>
      <c r="C27" s="11" t="inlineStr">
        <is>
          <t>Je peux restreindre la mesure à un ou plusieurs canaux MIDI.</t>
        </is>
      </c>
      <c r="D27" s="11" t="inlineStr">
        <is>
          <t>Choix « tous les canaux » ou sélection multiple parmi 1 à 16 (ex. clavier multitimbral réparti sur plusieurs canaux : 1, 9, 10).</t>
        </is>
      </c>
      <c r="E27" s="19" t="inlineStr">
        <is>
          <t>Souhaitable</t>
        </is>
      </c>
      <c r="F27" s="11" t="inlineStr">
        <is>
          <t>Tous</t>
        </is>
      </c>
      <c r="G27" s="18" t="inlineStr">
        <is>
          <t>2</t>
        </is>
      </c>
      <c r="H27" s="14" t="inlineStr">
        <is>
          <t>passé de canal unique à sélection multiple (Set&lt;Int&gt;), écran dédié dans Réglages</t>
        </is>
      </c>
    </row>
    <row r="28" ht="27.75" customHeight="1">
      <c r="A28" s="15" t="inlineStr">
        <is>
          <t>EX-018</t>
        </is>
      </c>
      <c r="B28" s="16" t="inlineStr">
        <is>
          <t>Entrée MIDI</t>
        </is>
      </c>
      <c r="C28" s="16" t="inlineStr">
        <is>
          <t>Je peux ignorer les frappes trop légères.</t>
        </is>
      </c>
      <c r="D28" s="16" t="inlineStr">
        <is>
          <t>Seuil de vélocité minimale réglable.</t>
        </is>
      </c>
      <c r="E28" s="19" t="inlineStr">
        <is>
          <t>Souhaitable</t>
        </is>
      </c>
      <c r="F28" s="16" t="inlineStr">
        <is>
          <t>1</t>
        </is>
      </c>
      <c r="G28" s="18" t="n">
        <v>2</v>
      </c>
      <c r="H28" s="14" t="n"/>
    </row>
    <row r="29" ht="27.75" customHeight="1">
      <c r="A29" s="10" t="inlineStr">
        <is>
          <t>EX-030</t>
        </is>
      </c>
      <c r="B29" s="11" t="inlineStr">
        <is>
          <t>Mesure</t>
        </is>
      </c>
      <c r="C29" s="11" t="inlineStr">
        <is>
          <t>La date d'une note est celle où le système l'a reçue, pas celle où l'application la traite.</t>
        </is>
      </c>
      <c r="D29" s="11" t="inlineStr">
        <is>
          <t>Horodatage du paquet CoreMIDI, converti en secondes dans une base de temps unique partagée avec le moteur audio.</t>
        </is>
      </c>
      <c r="E29" s="12" t="inlineStr">
        <is>
          <t>Indispensable</t>
        </is>
      </c>
      <c r="F29" s="11" t="inlineStr">
        <is>
          <t>—</t>
        </is>
      </c>
      <c r="G29" s="13" t="inlineStr">
        <is>
          <t>1</t>
        </is>
      </c>
      <c r="H29" s="14" t="n"/>
    </row>
    <row r="30" ht="27.75" customHeight="1">
      <c r="A30" s="15" t="inlineStr">
        <is>
          <t>EX-031</t>
        </is>
      </c>
      <c r="B30" s="16" t="inlineStr">
        <is>
          <t>Mesure</t>
        </is>
      </c>
      <c r="C30" s="16" t="inlineStr">
        <is>
          <t>La mesure doit être précise à mieux que 2 ms, hors retard du transport MIDI.</t>
        </is>
      </c>
      <c r="D30" s="16" t="inlineStr">
        <is>
          <t>Vérifié par injection de messages à intervalles connus.</t>
        </is>
      </c>
      <c r="E30" s="12" t="inlineStr">
        <is>
          <t>Indispensable</t>
        </is>
      </c>
      <c r="F30" s="16" t="inlineStr">
        <is>
          <t>&lt; 2 ms</t>
        </is>
      </c>
      <c r="G30" s="13" t="inlineStr">
        <is>
          <t>1</t>
        </is>
      </c>
      <c r="H30" s="14" t="n"/>
    </row>
    <row r="31" ht="27.75" customHeight="1">
      <c r="A31" s="10" t="inlineStr">
        <is>
          <t>EX-032</t>
        </is>
      </c>
      <c r="B31" s="11" t="inlineStr">
        <is>
          <t>Mesure</t>
        </is>
      </c>
      <c r="C31" s="11" t="inlineStr">
        <is>
          <t>Chaque note est comparée au point de grille le plus proche.</t>
        </is>
      </c>
      <c r="D31" s="11" t="inlineStr">
        <is>
          <t>L'écart ne peut jamais dépasser une demi-période de grille.</t>
        </is>
      </c>
      <c r="E31" s="12" t="inlineStr">
        <is>
          <t>Indispensable</t>
        </is>
      </c>
      <c r="F31" s="11" t="inlineStr">
        <is>
          <t>—</t>
        </is>
      </c>
      <c r="G31" s="13" t="inlineStr">
        <is>
          <t>1</t>
        </is>
      </c>
      <c r="H31" s="14" t="n"/>
    </row>
    <row r="32" ht="27.75" customHeight="1">
      <c r="A32" s="15" t="inlineStr">
        <is>
          <t>EX-033</t>
        </is>
      </c>
      <c r="B32" s="16" t="inlineStr">
        <is>
          <t>Mesure</t>
        </is>
      </c>
      <c r="C32" s="16" t="inlineStr">
        <is>
          <t>L'écart est signé et lisible sans réfléchir : négatif en avance, positif en retard.</t>
        </is>
      </c>
      <c r="D32" s="16" t="inlineStr">
        <is>
          <t>Millisecondes entières, signe explicite, doublé d'un mot en toutes lettres.</t>
        </is>
      </c>
      <c r="E32" s="12" t="inlineStr">
        <is>
          <t>Indispensable</t>
        </is>
      </c>
      <c r="F32" s="16" t="inlineStr">
        <is>
          <t>ms entiers</t>
        </is>
      </c>
      <c r="G32" s="13" t="inlineStr">
        <is>
          <t>1</t>
        </is>
      </c>
      <c r="H32" s="14" t="n"/>
    </row>
    <row r="33" ht="27.75" customHeight="1">
      <c r="A33" s="10" t="inlineStr">
        <is>
          <t>EX-034</t>
        </is>
      </c>
      <c r="B33" s="11" t="inlineStr">
        <is>
          <t>Mesure</t>
        </is>
      </c>
      <c r="C33" s="11" t="inlineStr">
        <is>
          <t>Le clic doit être ENTENDU sur le temps, pas seulement programmé sur le temps.</t>
        </is>
      </c>
      <c r="D33" s="11" t="inlineStr">
        <is>
          <t>Le retard de sortie audio est mesuré au démarrage et compensé automatiquement.</t>
        </is>
      </c>
      <c r="E33" s="12" t="inlineStr">
        <is>
          <t>Indispensable</t>
        </is>
      </c>
      <c r="F33" s="11" t="inlineStr">
        <is>
          <t>auto</t>
        </is>
      </c>
      <c r="G33" s="13" t="inlineStr">
        <is>
          <t>1</t>
        </is>
      </c>
      <c r="H33" s="14" t="n"/>
    </row>
    <row r="34" ht="27.75" customHeight="1">
      <c r="A34" s="15" t="inlineStr">
        <is>
          <t>EX-035</t>
        </is>
      </c>
      <c r="B34" s="16" t="inlineStr">
        <is>
          <t>Mesure</t>
        </is>
      </c>
      <c r="C34" s="16" t="inlineStr">
        <is>
          <t>Je peux corriger cet alignement à la main.</t>
        </is>
      </c>
      <c r="D34" s="16" t="inlineStr">
        <is>
          <t>Curseur de ±60 ms au pas de 1 ms. Il décale l'horodatage des notes reçues, pour annuler le retard de la chaîne d'entrée (balayage, transport, tampons) : il n'agit pas sur le clic, contrairement à la compensation automatique d'EX-034.</t>
        </is>
      </c>
      <c r="E34" s="17" t="inlineStr">
        <is>
          <t>Important</t>
        </is>
      </c>
      <c r="F34" s="16" t="inlineStr">
        <is>
          <t>0 ms</t>
        </is>
      </c>
      <c r="G34" s="13" t="inlineStr">
        <is>
          <t>1</t>
        </is>
      </c>
      <c r="H34" s="14" t="inlineStr">
        <is>
          <t>les deux corrections n'agissent pas au même endroit, la documentation les confondait</t>
        </is>
      </c>
    </row>
    <row r="35" ht="34.5" customHeight="1">
      <c r="A35" s="10" t="inlineStr">
        <is>
          <t>EX-038</t>
        </is>
      </c>
      <c r="B35" s="11" t="inlineStr">
        <is>
          <t>Mesure</t>
        </is>
      </c>
      <c r="C35" s="11" t="inlineStr">
        <is>
          <t>Je dois pouvoir vérifier que l'alignement est juste autrement que par mon ressenti.</t>
        </is>
      </c>
      <c r="D35" s="11" t="inlineStr">
        <is>
          <t>Protocole documenté dans les réglages : jouer un fichier MIDI parfaitement quantifié depuis le séquenceur du clavier et régler la correction jusqu'à ce que les notes se posent sur la ligne centrale. On se compare à une référence objective, jamais à sa propre perception, puisqu'on anticipe naturellement de 10 à 30 ms. Résidu non compensé : le balayage du clavier, absent quand le séquenceur joue mais présent quand l'instrumentiste joue.</t>
        </is>
      </c>
      <c r="E35" s="17" t="inlineStr">
        <is>
          <t>Important</t>
        </is>
      </c>
      <c r="F35" s="11" t="inlineStr">
        <is>
          <t>—</t>
        </is>
      </c>
      <c r="G35" s="13" t="inlineStr">
        <is>
          <t>1</t>
        </is>
      </c>
      <c r="H35" s="14" t="inlineStr">
        <is>
          <t>protocole corrigé le 30/07/2026 : celui décrit auparavant ne pouvait pas fonctionner</t>
        </is>
      </c>
    </row>
    <row r="36" ht="27.75" customHeight="1">
      <c r="A36" s="15" t="inlineStr">
        <is>
          <t>EX-036</t>
        </is>
      </c>
      <c r="B36" s="16" t="inlineStr">
        <is>
          <t>Mesure</t>
        </is>
      </c>
      <c r="C36" s="16" t="inlineStr">
        <is>
          <t>Les notes d'un même accord ne doivent pas compter comme plusieurs erreurs.</t>
        </is>
      </c>
      <c r="D36" s="16" t="inlineStr">
        <is>
          <t>Regroupement dans une fenêtre courte, daté sur la première note.</t>
        </is>
      </c>
      <c r="E36" s="17" t="inlineStr">
        <is>
          <t>Important</t>
        </is>
      </c>
      <c r="F36" s="16" t="inlineStr">
        <is>
          <t>30 ms</t>
        </is>
      </c>
      <c r="G36" s="18" t="inlineStr">
        <is>
          <t>2</t>
        </is>
      </c>
      <c r="H36" s="14" t="n"/>
    </row>
    <row r="37" ht="27.75" customHeight="1">
      <c r="A37" s="10" t="inlineStr">
        <is>
          <t>EX-037</t>
        </is>
      </c>
      <c r="B37" s="11" t="inlineStr">
        <is>
          <t>Mesure</t>
        </is>
      </c>
      <c r="C37" s="11" t="inlineStr">
        <is>
          <t>Pour un accord, je veux savoir s'il est « ensemble ».</t>
        </is>
      </c>
      <c r="D37" s="11" t="inlineStr">
        <is>
          <t>Affichage de l'étalement du groupe.</t>
        </is>
      </c>
      <c r="E37" s="19" t="inlineStr">
        <is>
          <t>Souhaitable</t>
        </is>
      </c>
      <c r="F37" s="11" t="inlineStr">
        <is>
          <t>—</t>
        </is>
      </c>
      <c r="G37" s="18" t="inlineStr">
        <is>
          <t>2</t>
        </is>
      </c>
      <c r="H37" s="14" t="n"/>
    </row>
    <row r="38" ht="27.75" customHeight="1">
      <c r="A38" s="15" t="inlineStr">
        <is>
          <t>EX-040</t>
        </is>
      </c>
      <c r="B38" s="16" t="inlineStr">
        <is>
          <t>Métronome</t>
        </is>
      </c>
      <c r="C38" s="16" t="inlineStr">
        <is>
          <t>Tempo réglable sur toute la plage de travail utile.</t>
        </is>
      </c>
      <c r="D38" s="16" t="inlineStr">
        <is>
          <t>De 30 à 240 à la noire, au pas de 1, réglable au bouton comme au curseur.</t>
        </is>
      </c>
      <c r="E38" s="12" t="inlineStr">
        <is>
          <t>Indispensable</t>
        </is>
      </c>
      <c r="F38" s="16" t="inlineStr">
        <is>
          <t>80 bpm</t>
        </is>
      </c>
      <c r="G38" s="13" t="inlineStr">
        <is>
          <t>1</t>
        </is>
      </c>
      <c r="H38" s="14" t="n"/>
    </row>
    <row r="39" ht="27.75" customHeight="1">
      <c r="A39" s="10" t="inlineStr">
        <is>
          <t>EX-043</t>
        </is>
      </c>
      <c r="B39" s="11" t="inlineStr">
        <is>
          <t>Métronome</t>
        </is>
      </c>
      <c r="C39" s="11" t="inlineStr">
        <is>
          <t>Le clic peut être coupé, et son volume réglé indépendamment du volume système.</t>
        </is>
      </c>
      <c r="D39" s="11" t="inlineStr">
        <is>
          <t>Interrupteur et curseur sur l'écran de mesure.</t>
        </is>
      </c>
      <c r="E39" s="12" t="inlineStr">
        <is>
          <t>Indispensable</t>
        </is>
      </c>
      <c r="F39" s="11" t="inlineStr">
        <is>
          <t>activé, 50 %</t>
        </is>
      </c>
      <c r="G39" s="13" t="inlineStr">
        <is>
          <t>1</t>
        </is>
      </c>
      <c r="H39" s="14" t="n"/>
    </row>
    <row r="40" ht="27.75" customHeight="1">
      <c r="A40" s="15" t="inlineStr">
        <is>
          <t>EX-047</t>
        </is>
      </c>
      <c r="B40" s="16" t="inlineStr">
        <is>
          <t>Métronome</t>
        </is>
      </c>
      <c r="C40" s="16" t="inlineStr">
        <is>
          <t>Le métronome doit être stable dans la durée.</t>
        </is>
      </c>
      <c r="D40" s="16" t="inlineStr">
        <is>
          <t>Cadencé sur l'horloge audio, pas sur un timer système. Dérive inférieure à 1 ms sur 10 minutes.</t>
        </is>
      </c>
      <c r="E40" s="12" t="inlineStr">
        <is>
          <t>Indispensable</t>
        </is>
      </c>
      <c r="F40" s="16" t="inlineStr">
        <is>
          <t>—</t>
        </is>
      </c>
      <c r="G40" s="13" t="inlineStr">
        <is>
          <t>1</t>
        </is>
      </c>
      <c r="H40" s="14" t="n"/>
    </row>
    <row r="41" ht="27.75" customHeight="1">
      <c r="A41" s="10" t="inlineStr">
        <is>
          <t>EX-048</t>
        </is>
      </c>
      <c r="B41" s="11" t="inlineStr">
        <is>
          <t>Métronome</t>
        </is>
      </c>
      <c r="C41" s="11" t="inlineStr">
        <is>
          <t>Je peux changer le tempo en pleine séance sans tout arrêter.</t>
        </is>
      </c>
      <c r="D41" s="11" t="inlineStr">
        <is>
          <t>La grille se réancre proprement, sans note faussement comptée à la transition.</t>
        </is>
      </c>
      <c r="E41" s="17" t="inlineStr">
        <is>
          <t>Important</t>
        </is>
      </c>
      <c r="F41" s="11" t="inlineStr">
        <is>
          <t>—</t>
        </is>
      </c>
      <c r="G41" s="13" t="inlineStr">
        <is>
          <t>1</t>
        </is>
      </c>
      <c r="H41" s="14" t="n"/>
    </row>
    <row r="42" ht="27.75" customHeight="1">
      <c r="A42" s="15" t="inlineStr">
        <is>
          <t>EX-052</t>
        </is>
      </c>
      <c r="B42" s="16" t="inlineStr">
        <is>
          <t>Métronome</t>
        </is>
      </c>
      <c r="C42" s="16" t="inlineStr">
        <is>
          <t>Je veux vérifier que la sortie audio fonctionne sans lancer une séance.</t>
        </is>
      </c>
      <c r="D42" s="16" t="inlineStr">
        <is>
          <t>Bouton produisant un clic isolé. Toute erreur de la chaîne audio est affichée, jamais avalée en silence.</t>
        </is>
      </c>
      <c r="E42" s="17" t="inlineStr">
        <is>
          <t>Important</t>
        </is>
      </c>
      <c r="F42" s="16" t="inlineStr">
        <is>
          <t>—</t>
        </is>
      </c>
      <c r="G42" s="13" t="inlineStr">
        <is>
          <t>1</t>
        </is>
      </c>
      <c r="H42" s="14" t="n"/>
    </row>
    <row r="43" ht="27.75" customHeight="1">
      <c r="A43" s="10" t="inlineStr">
        <is>
          <t>EX-041</t>
        </is>
      </c>
      <c r="B43" s="11" t="inlineStr">
        <is>
          <t>Métronome</t>
        </is>
      </c>
      <c r="C43" s="11" t="inlineStr">
        <is>
          <t>Je choisis la finesse de la grille sur laquelle mes notes sont jugées.</t>
        </is>
      </c>
      <c r="D43" s="11" t="inlineStr">
        <is>
          <t>Noires, croches, triolets, doubles-croches.</t>
        </is>
      </c>
      <c r="E43" s="17" t="inlineStr">
        <is>
          <t>Important</t>
        </is>
      </c>
      <c r="F43" s="11" t="inlineStr">
        <is>
          <t>Noires</t>
        </is>
      </c>
      <c r="G43" s="18" t="inlineStr">
        <is>
          <t>2</t>
        </is>
      </c>
      <c r="H43" s="14" t="n"/>
    </row>
    <row r="44" ht="27.75" customHeight="1">
      <c r="A44" s="15" t="inlineStr">
        <is>
          <t>EX-042</t>
        </is>
      </c>
      <c r="B44" s="16" t="inlineStr">
        <is>
          <t>Métronome</t>
        </is>
      </c>
      <c r="C44" s="16" t="inlineStr">
        <is>
          <t>Je règle le nombre de temps par mesure, avec accent sur le premier.</t>
        </is>
      </c>
      <c r="D44" s="16" t="inlineStr">
        <is>
          <t>De 2 à 12 temps, ou aucun accent.</t>
        </is>
      </c>
      <c r="E44" s="17" t="inlineStr">
        <is>
          <t>Important</t>
        </is>
      </c>
      <c r="F44" s="16" t="inlineStr">
        <is>
          <t>4</t>
        </is>
      </c>
      <c r="G44" s="18" t="inlineStr">
        <is>
          <t>2</t>
        </is>
      </c>
      <c r="H44" s="14" t="n"/>
    </row>
    <row r="45" ht="27.75" customHeight="1">
      <c r="A45" s="10" t="inlineStr">
        <is>
          <t>EX-044</t>
        </is>
      </c>
      <c r="B45" s="11" t="inlineStr">
        <is>
          <t>Métronome</t>
        </is>
      </c>
      <c r="C45" s="11" t="inlineStr">
        <is>
          <t>Les subdivisions peuvent être cliquées ou rester silencieuses.</t>
        </is>
      </c>
      <c r="D45" s="11" t="inlineStr">
        <is>
          <t>Interrupteur séparé.</t>
        </is>
      </c>
      <c r="E45" s="19" t="inlineStr">
        <is>
          <t>Souhaitable</t>
        </is>
      </c>
      <c r="F45" s="11" t="inlineStr">
        <is>
          <t>désactivé</t>
        </is>
      </c>
      <c r="G45" s="18" t="n">
        <v>3</v>
      </c>
      <c r="H45" s="14" t="n"/>
    </row>
    <row r="46" ht="27.75" customHeight="1">
      <c r="A46" s="15" t="inlineStr">
        <is>
          <t>EX-049</t>
        </is>
      </c>
      <c r="B46" s="16" t="inlineStr">
        <is>
          <t>Métronome</t>
        </is>
      </c>
      <c r="C46" s="16" t="inlineStr">
        <is>
          <t>Un décompte avant que la mesure ne commence.</t>
        </is>
      </c>
      <c r="D46" s="16" t="inlineStr">
        <is>
          <t>Une mesure à vide, notes non comptabilisées.</t>
        </is>
      </c>
      <c r="E46" s="19" t="inlineStr">
        <is>
          <t>Souhaitable</t>
        </is>
      </c>
      <c r="F46" s="16" t="inlineStr">
        <is>
          <t>1 mesure</t>
        </is>
      </c>
      <c r="G46" s="18" t="n">
        <v>3</v>
      </c>
      <c r="H46" s="14" t="n"/>
    </row>
    <row r="47" ht="27.75" customHeight="1">
      <c r="A47" s="10" t="inlineStr">
        <is>
          <t>EX-050</t>
        </is>
      </c>
      <c r="B47" s="11" t="inlineStr">
        <is>
          <t>Métronome</t>
        </is>
      </c>
      <c r="C47" s="11" t="inlineStr">
        <is>
          <t>Une notification ou un appel ne doit pas casser la séance silencieusement.</t>
        </is>
      </c>
      <c r="D47" s="11" t="inlineStr">
        <is>
          <t>Interruptions audio gérées ; reprise ou arrêt signalé.</t>
        </is>
      </c>
      <c r="E47" s="17" t="inlineStr">
        <is>
          <t>Important</t>
        </is>
      </c>
      <c r="F47" s="11" t="inlineStr">
        <is>
          <t>—</t>
        </is>
      </c>
      <c r="G47" s="18" t="inlineStr">
        <is>
          <t>2</t>
        </is>
      </c>
      <c r="H47" s="14" t="n"/>
    </row>
    <row r="48" ht="27.75" customHeight="1">
      <c r="A48" s="23" t="inlineStr">
        <is>
          <t>EX-051</t>
        </is>
      </c>
      <c r="B48" s="24" t="inlineStr">
        <is>
          <t>Métronome</t>
        </is>
      </c>
      <c r="C48" s="24" t="inlineStr">
        <is>
          <t>Je veux choisir le son du clic parmi plusieurs timbres.</t>
        </is>
      </c>
      <c r="D48" s="24" t="inlineStr">
        <is>
          <t>Cinq timbres inspirés du kit de percussions General MIDI, avec écoute au changement.</t>
        </is>
      </c>
      <c r="E48" s="25" t="inlineStr">
        <is>
          <t>Souhaitable</t>
        </is>
      </c>
      <c r="F48" s="24" t="inlineStr">
        <is>
          <t>Claves</t>
        </is>
      </c>
      <c r="G48" s="26" t="inlineStr">
        <is>
          <t>2</t>
        </is>
      </c>
      <c r="H48" s="27" t="n"/>
    </row>
    <row r="49" ht="57" customHeight="1">
      <c r="A49" s="33" t="inlineStr">
        <is>
          <t>EX-053</t>
        </is>
      </c>
      <c r="B49" s="33" t="inlineStr">
        <is>
          <t>Métronome</t>
        </is>
      </c>
      <c r="C49" s="33" t="inlineStr">
        <is>
          <t>Je veux que le métronome démarre sur le Start de la boîte à rythmes de mon clavier.</t>
        </is>
      </c>
      <c r="D49" s="33" t="inlineStr">
        <is>
          <t>Les messages MIDI temps réel Start, Continue et Stop pilotent le métronome. La grille est ancrée exactement sur l'instant du message reçu, et non sur l'instant de traitement. Un témoin indique à l'écran si l'application attend le départ ou si elle est synchronisée. Le même réglage active aussi le suivi d'horloge (EX-054) : il n'y a pas de bascule séparée.</t>
        </is>
      </c>
      <c r="E49" s="34" t="inlineStr">
        <is>
          <t>Important</t>
        </is>
      </c>
      <c r="F49" s="33" t="inlineStr">
        <is>
          <t>désactivé</t>
        </is>
      </c>
      <c r="G49" s="38" t="inlineStr">
        <is>
          <t>3</t>
        </is>
      </c>
      <c r="H49" s="35" t="inlineStr">
        <is>
          <t>sert surtout à régler l'alignement à l'oreille contre une référence matérielle</t>
        </is>
      </c>
    </row>
    <row r="50" ht="57" customHeight="1">
      <c r="A50" s="33" t="inlineStr">
        <is>
          <t>EX-054</t>
        </is>
      </c>
      <c r="B50" s="33" t="inlineStr">
        <is>
          <t>Métronome</t>
        </is>
      </c>
      <c r="C50" s="33" t="inlineStr">
        <is>
          <t>Quand je suis synchronisé, je veux que le tempo suive celui du clavier et ne dérive pas.</t>
        </is>
      </c>
      <c r="D50" s="33" t="inlineStr">
        <is>
          <t>Suivi de l'horloge MIDI (24 impulsions par noire). Période lissée et phase corrigée par un décalage d'ancrage borné, sans rupture de grille — sauf écart franc (plus de 8 %), reconnu comme un tempo changé au clavier et adopté d'un coup, sans quoi le clic mettrait une vingtaine de temps à revenir sur le temps. Le tempo reçu est affiché à la place du tempo réglé, qui ne fait plus foi, et il est adopté comme tempo de l'application : les réglages qui en dépendent le suivent, et la valeur survit à l'arrêt de la séance. Les commandes de tempo sont neutralisées tant que l'horloge pilote. S'active et se désactive avec EX-053 : un seul réglage « Démarrage synchronisé » commande les deux, il n'y a jamais de cas où l'un est utile sans l'autre.</t>
        </is>
      </c>
      <c r="E50" s="36" t="inlineStr">
        <is>
          <t>Souhaitable</t>
        </is>
      </c>
      <c r="F50" s="33" t="inlineStr">
        <is>
          <t>suit EX-053</t>
        </is>
      </c>
      <c r="G50" s="38" t="inlineStr">
        <is>
          <t>3</t>
        </is>
      </c>
      <c r="H50" s="35" t="inlineStr">
        <is>
          <t>sans lui, Start donne le départ mais pas le tempo : la dérive est inévitable — fusionné avec EX-053 le 27/07/2026, l'usage a confirmé qu'ils ne se séparent jamais ; tempo reçu rendu persistant le 29/07/2026</t>
        </is>
      </c>
    </row>
    <row r="51" ht="27.75" customHeight="1">
      <c r="A51" s="28" t="inlineStr">
        <is>
          <t>EX-060</t>
        </is>
      </c>
      <c r="B51" s="29" t="inlineStr">
        <is>
          <t>Visualisation</t>
        </is>
      </c>
      <c r="C51" s="29" t="inlineStr">
        <is>
          <t>Une ligne verticale centrale représente le battement, en permanence.</t>
        </is>
      </c>
      <c r="D51" s="29" t="inlineStr">
        <is>
          <t>Ligne continue traversant toute la zone de mesure.</t>
        </is>
      </c>
      <c r="E51" s="30" t="inlineStr">
        <is>
          <t>Indispensable</t>
        </is>
      </c>
      <c r="F51" s="29" t="inlineStr">
        <is>
          <t>—</t>
        </is>
      </c>
      <c r="G51" s="31" t="inlineStr">
        <is>
          <t>1</t>
        </is>
      </c>
      <c r="H51" s="32" t="n"/>
    </row>
    <row r="52" ht="27.75" customHeight="1">
      <c r="A52" s="15" t="inlineStr">
        <is>
          <t>EX-061</t>
        </is>
      </c>
      <c r="B52" s="16" t="inlineStr">
        <is>
          <t>Visualisation</t>
        </is>
      </c>
      <c r="C52" s="16" t="inlineStr">
        <is>
          <t>Le temps défile verticalement : les notes apparaissent en haut et descendent.</t>
        </is>
      </c>
      <c r="D52" s="16" t="inlineStr">
        <is>
          <t>Vitesse constante, environ 6 secondes d'historique visible.</t>
        </is>
      </c>
      <c r="E52" s="12" t="inlineStr">
        <is>
          <t>Indispensable</t>
        </is>
      </c>
      <c r="F52" s="16" t="inlineStr">
        <is>
          <t>6 s</t>
        </is>
      </c>
      <c r="G52" s="13" t="inlineStr">
        <is>
          <t>1</t>
        </is>
      </c>
      <c r="H52" s="14" t="n"/>
    </row>
    <row r="53" ht="27.75" customHeight="1">
      <c r="A53" s="10" t="inlineStr">
        <is>
          <t>EX-062</t>
        </is>
      </c>
      <c r="B53" s="11" t="inlineStr">
        <is>
          <t>Visualisation</t>
        </is>
      </c>
      <c r="C53" s="11" t="inlineStr">
        <is>
          <t>Chaque note est placée horizontalement en proportion de son écart.</t>
        </is>
      </c>
      <c r="D53" s="11" t="inlineStr">
        <is>
          <t>Position proportionnelle, saturée aux bords plutôt que masquée.</t>
        </is>
      </c>
      <c r="E53" s="12" t="inlineStr">
        <is>
          <t>Indispensable</t>
        </is>
      </c>
      <c r="F53" s="11" t="inlineStr">
        <is>
          <t>—</t>
        </is>
      </c>
      <c r="G53" s="13" t="inlineStr">
        <is>
          <t>1</t>
        </is>
      </c>
      <c r="H53" s="14" t="n"/>
    </row>
    <row r="54" ht="27.75" customHeight="1">
      <c r="A54" s="15" t="inlineStr">
        <is>
          <t>EX-063</t>
        </is>
      </c>
      <c r="B54" s="16" t="inlineStr">
        <is>
          <t>Visualisation</t>
        </is>
      </c>
      <c r="C54" s="16" t="inlineStr">
        <is>
          <t>Une bande matérialise la zone que je considère comme « dans le temps », et sa largeur tient compte de la finesse de la grille.</t>
        </is>
      </c>
      <c r="D54" s="16" t="inlineStr">
        <is>
          <t>Largeur réglable en pourcentage de la subdivision, visible en permanence de part et d'autre de la ligne. Seuil au plus permissif entre le pourcentage réglé et 20 ms : en deçà l'écart cesse de s'entendre, l'exiger n'aurait pas de sens. Même forme que le seuil de régularité (EX-082).</t>
        </is>
      </c>
      <c r="E54" s="12" t="inlineStr">
        <is>
          <t>Indispensable</t>
        </is>
      </c>
      <c r="F54" s="16" t="inlineStr">
        <is>
          <t>5 % ou 20 ms</t>
        </is>
      </c>
      <c r="G54" s="13" t="inlineStr">
        <is>
          <t>1</t>
        </is>
      </c>
      <c r="H54" s="14" t="inlineStr">
        <is>
          <t>passée d'une largeur absolue en ms à un pourcentage de la subdivision : ±50 ms valent 5 % d'une noire à 60 bpm mais 43 % d'une double-croche à 128 bpm</t>
        </is>
      </c>
    </row>
    <row r="55" ht="27.75" customHeight="1">
      <c r="A55" s="10" t="inlineStr">
        <is>
          <t>EX-066</t>
        </is>
      </c>
      <c r="B55" s="11" t="inlineStr">
        <is>
          <t>Visualisation</t>
        </is>
      </c>
      <c r="C55" s="11" t="inlineStr">
        <is>
          <t>Une lecture instantanée me dit où j'en suis sans que j'aie à quitter le clavier des yeux.</t>
        </is>
      </c>
      <c r="D55" s="11" t="inlineStr">
        <is>
          <t>Trois voyants, façon accordeur : un triangle de chaque côté et une barre centrale. La barre ne s'allume que si la fourchette des dernières notes (EX-089) tient entière dans la zone juste ; sinon un triangle s'allume du côté du débordement, et les deux ensemble quand le jeu est irrégulier. Sous les voyants, un mot — dans le temps, en avance, en retard, irrégulier — et l'écart moyen en petit. Un seul chiffre : la dispersion figure déjà dans la rangée de statistiques, et deux nombres accolés se lisaient mal en jouant. Jamais la dernière note. Lisible à un mètre depuis le pupitre.</t>
        </is>
      </c>
      <c r="E55" s="12" t="inlineStr">
        <is>
          <t>Indispensable</t>
        </is>
      </c>
      <c r="F55" s="11" t="inlineStr">
        <is>
          <t>—</t>
        </is>
      </c>
      <c r="G55" s="13" t="inlineStr">
        <is>
          <t>1</t>
        </is>
      </c>
      <c r="H55" s="14" t="inlineStr">
        <is>
          <t>l'écart de la dernière note sautait d'une frappe à l'autre : impossible de s'en servir pour se corriger en jouant — remplacé le 29/07/2026, d'abord par neuf barres graduées, réduites à trois voyants après essai (voir Risques et décisions)</t>
        </is>
      </c>
    </row>
    <row r="56" ht="34.5" customHeight="1">
      <c r="A56" s="15" t="inlineStr">
        <is>
          <t>EX-068</t>
        </is>
      </c>
      <c r="B56" s="16" t="inlineStr">
        <is>
          <t>Visualisation</t>
        </is>
      </c>
      <c r="C56" s="16" t="inlineStr">
        <is>
          <t>Les temps du métronome défilent aussi, pour situer chaque note.</t>
        </is>
      </c>
      <c r="D56" s="16" t="inlineStr">
        <is>
          <t>Repère horizontal à chaque temps.</t>
        </is>
      </c>
      <c r="E56" s="17" t="inlineStr">
        <is>
          <t>Important</t>
        </is>
      </c>
      <c r="F56" s="16" t="inlineStr">
        <is>
          <t>—</t>
        </is>
      </c>
      <c r="G56" s="13" t="inlineStr">
        <is>
          <t>1</t>
        </is>
      </c>
      <c r="H56" s="14" t="n"/>
    </row>
    <row r="57" ht="27.75" customHeight="1">
      <c r="A57" s="10" t="inlineStr">
        <is>
          <t>EX-069</t>
        </is>
      </c>
      <c r="B57" s="11" t="inlineStr">
        <is>
          <t>Visualisation</t>
        </is>
      </c>
      <c r="C57" s="11" t="inlineStr">
        <is>
          <t>Le défilement doit être parfaitement fluide, sinon je ne peux pas m'y fier.</t>
        </is>
      </c>
      <c r="D57" s="11" t="inlineStr">
        <is>
          <t>Suit le rafraîchissement de l'écran, sans saccade sur une séance de 45 minutes.</t>
        </is>
      </c>
      <c r="E57" s="12" t="inlineStr">
        <is>
          <t>Indispensable</t>
        </is>
      </c>
      <c r="F57" s="11" t="inlineStr">
        <is>
          <t>60 / 120 fps</t>
        </is>
      </c>
      <c r="G57" s="13" t="inlineStr">
        <is>
          <t>1</t>
        </is>
      </c>
      <c r="H57" s="14" t="n"/>
    </row>
    <row r="58" ht="27.75" customHeight="1">
      <c r="A58" s="15" t="inlineStr">
        <is>
          <t>EX-072</t>
        </is>
      </c>
      <c r="B58" s="16" t="inlineStr">
        <is>
          <t>Visualisation</t>
        </is>
      </c>
      <c r="C58" s="16" t="inlineStr">
        <is>
          <t>Je veux un mode où je ne vois que la mesure, sans réglages ni statistiques.</t>
        </is>
      </c>
      <c r="D58" s="16" t="inlineStr">
        <is>
          <t>Un appui sur la zone de mesure masque tout le reste, barre d'état comprise. Même vue de mesure dans les deux modes, jamais une seconde implémentation.</t>
        </is>
      </c>
      <c r="E58" s="12" t="inlineStr">
        <is>
          <t>Indispensable</t>
        </is>
      </c>
      <c r="F58" s="16" t="inlineStr">
        <is>
          <t>—</t>
        </is>
      </c>
      <c r="G58" s="13" t="inlineStr">
        <is>
          <t>1</t>
        </is>
      </c>
      <c r="H58" s="14" t="n"/>
    </row>
    <row r="59" ht="27.75" customHeight="1">
      <c r="A59" s="10" t="inlineStr">
        <is>
          <t>EX-065</t>
        </is>
      </c>
      <c r="B59" s="11" t="inlineStr">
        <is>
          <t>Visualisation</t>
        </is>
      </c>
      <c r="C59" s="11" t="inlineStr">
        <is>
          <t>La force de frappe est visible sur le graphe.</t>
        </is>
      </c>
      <c r="D59" s="11" t="inlineStr">
        <is>
          <t>Taille du repère proportionnelle à la vélocité.</t>
        </is>
      </c>
      <c r="E59" s="19" t="inlineStr">
        <is>
          <t>Souhaitable</t>
        </is>
      </c>
      <c r="F59" s="11" t="inlineStr">
        <is>
          <t>—</t>
        </is>
      </c>
      <c r="G59" s="18" t="n">
        <v>3</v>
      </c>
      <c r="H59" s="14" t="n"/>
    </row>
    <row r="60" ht="27.75" customHeight="1">
      <c r="A60" s="15" t="inlineStr">
        <is>
          <t>EX-067</t>
        </is>
      </c>
      <c r="B60" s="16" t="inlineStr">
        <is>
          <t>Visualisation</t>
        </is>
      </c>
      <c r="C60" s="16" t="inlineStr">
        <is>
          <t>Je règle l'échelle horizontale selon mon niveau du jour, sans qu'elle puisse mentir sur la plage réellement atteignable.</t>
        </is>
      </c>
      <c r="D60" s="16" t="inlineStr">
        <is>
          <t>Bornée à la demi-subdivision, plage qu'un écart ne peut par construction jamais dépasser (EX-032). Curseur de resserrement de 25 % à 100 % de cette plage.</t>
        </is>
      </c>
      <c r="E60" s="19" t="inlineStr">
        <is>
          <t>Souhaitable</t>
        </is>
      </c>
      <c r="F60" s="16" t="inlineStr">
        <is>
          <t>100 % (½ subdivision)</t>
        </is>
      </c>
      <c r="G60" s="18" t="inlineStr">
        <is>
          <t>1</t>
        </is>
      </c>
      <c r="H60" s="14" t="inlineStr">
        <is>
          <t>au-delà de la demi-subdivision le graphe montrait du vide, en deçà il écrasait les notes contre le bord</t>
        </is>
      </c>
    </row>
    <row r="61" ht="27.75" customHeight="1">
      <c r="A61" s="10" t="inlineStr">
        <is>
          <t>EX-071</t>
        </is>
      </c>
      <c r="B61" s="11" t="inlineStr">
        <is>
          <t>Visualisation</t>
        </is>
      </c>
      <c r="C61" s="11" t="inlineStr">
        <is>
          <t>Je veux voir ma tendance sur le graphe, pas seulement en chiffre.</t>
        </is>
      </c>
      <c r="D61" s="11" t="inlineStr">
        <is>
          <t>Repère à la position de la moyenne glissante.</t>
        </is>
      </c>
      <c r="E61" s="19" t="inlineStr">
        <is>
          <t>Souhaitable</t>
        </is>
      </c>
      <c r="F61" s="11" t="inlineStr">
        <is>
          <t>—</t>
        </is>
      </c>
      <c r="G61" s="18" t="n">
        <v>3</v>
      </c>
      <c r="H61" s="14" t="n"/>
    </row>
    <row r="62" ht="57" customHeight="1">
      <c r="A62" s="15" t="inlineStr">
        <is>
          <t>EX-080</t>
        </is>
      </c>
      <c r="B62" s="16" t="inlineStr">
        <is>
          <t>Statistiques</t>
        </is>
      </c>
      <c r="C62" s="16" t="inlineStr">
        <is>
          <t>Je veux savoir combien de notes ont été mesurées.</t>
        </is>
      </c>
      <c r="D62" s="16" t="inlineStr">
        <is>
          <t>Compteur des notes jouées depuis le début de la séance, qui monte tant qu'on joue. Distinct de la fenêtre statistique (EX-084) qui, elle, plafonne l'échantillon des trois autres indicateurs : la taille retenue s'affiche en légende dès que la fenêtre écarte des notes.</t>
        </is>
      </c>
      <c r="E62" s="12" t="inlineStr">
        <is>
          <t>Indispensable</t>
        </is>
      </c>
      <c r="F62" s="16" t="inlineStr">
        <is>
          <t>—</t>
        </is>
      </c>
      <c r="G62" s="13" t="inlineStr">
        <is>
          <t>1</t>
        </is>
      </c>
      <c r="H62" s="14" t="inlineStr">
        <is>
          <t>le compteur affichait la taille de l'échantillon et restait donc bloqué à la fenêtre — corrigé le 30/07/2026</t>
        </is>
      </c>
    </row>
    <row r="63" ht="27.75" customHeight="1">
      <c r="A63" s="10" t="inlineStr">
        <is>
          <t>EX-081</t>
        </is>
      </c>
      <c r="B63" s="11" t="inlineStr">
        <is>
          <t>Statistiques</t>
        </is>
      </c>
      <c r="C63" s="11" t="inlineStr">
        <is>
          <t>Je veux connaître mon biais : est-ce que je traîne ou est-ce que je précipite ?</t>
        </is>
      </c>
      <c r="D63" s="11" t="inlineStr">
        <is>
          <t>Écart moyen signé, en millisecondes avec une décimale, unité affichée à côté de la valeur.</t>
        </is>
      </c>
      <c r="E63" s="12" t="inlineStr">
        <is>
          <t>Indispensable</t>
        </is>
      </c>
      <c r="F63" s="11" t="inlineStr">
        <is>
          <t>—</t>
        </is>
      </c>
      <c r="G63" s="13" t="inlineStr">
        <is>
          <t>1</t>
        </is>
      </c>
      <c r="H63" s="14" t="n"/>
    </row>
    <row r="64" ht="27.75" customHeight="1">
      <c r="A64" s="15" t="inlineStr">
        <is>
          <t>EX-082</t>
        </is>
      </c>
      <c r="B64" s="16" t="inlineStr">
        <is>
          <t>Statistiques</t>
        </is>
      </c>
      <c r="C64" s="16" t="inlineStr">
        <is>
          <t>Je veux connaître ma régularité, et savoir d'un coup d'œil si elle est acceptable.</t>
        </is>
      </c>
      <c r="D64" s="16" t="inlineStr">
        <is>
          <t>Écart-type en millisecondes, doublé du pourcentage de l'intervalle pour être comparable d'un tempo à l'autre. Couleur de validation tant que la dispersion reste acceptable, couleur d'alerte au-delà : seuil au plus permissif entre 5 % de l'intervalle et 15 ms. Affiché sous le nom de « Dispersion » et non de « Régularité » : c'est un écart-type, donc plus le nombre est grand, moins le jeu est régulier — le libellé doit se lire dans le bon sens.</t>
        </is>
      </c>
      <c r="E64" s="12" t="inlineStr">
        <is>
          <t>Indispensable</t>
        </is>
      </c>
      <c r="F64" s="16" t="inlineStr">
        <is>
          <t>5 % ou 15 ms</t>
        </is>
      </c>
      <c r="G64" s="13" t="inlineStr">
        <is>
          <t>1</t>
        </is>
      </c>
      <c r="H64" s="14" t="inlineStr">
        <is>
          <t>libellé corrigé le 30/07/2026 : « Régularité » se lisait à l'envers d'un écart-type</t>
        </is>
      </c>
    </row>
    <row r="65" ht="27.75" customHeight="1">
      <c r="A65" s="10" t="inlineStr">
        <is>
          <t>EX-083</t>
        </is>
      </c>
      <c r="B65" s="11" t="inlineStr">
        <is>
          <t>Statistiques</t>
        </is>
      </c>
      <c r="C65" s="11" t="inlineStr">
        <is>
          <t>Je veux la proportion de notes tombées dans ma zone de tolérance.</t>
        </is>
      </c>
      <c r="D65" s="11" t="inlineStr">
        <is>
          <t>Pourcentage entier, recalculé si la tolérance change.</t>
        </is>
      </c>
      <c r="E65" s="12" t="inlineStr">
        <is>
          <t>Indispensable</t>
        </is>
      </c>
      <c r="F65" s="11" t="inlineStr">
        <is>
          <t>—</t>
        </is>
      </c>
      <c r="G65" s="13" t="inlineStr">
        <is>
          <t>1</t>
        </is>
      </c>
      <c r="H65" s="14" t="n"/>
    </row>
    <row r="66" ht="27.75" customHeight="1">
      <c r="A66" s="15" t="inlineStr">
        <is>
          <t>EX-085</t>
        </is>
      </c>
      <c r="B66" s="16" t="inlineStr">
        <is>
          <t>Statistiques</t>
        </is>
      </c>
      <c r="C66" s="16" t="inlineStr">
        <is>
          <t>Je remets les compteurs à zéro d'un seul geste.</t>
        </is>
      </c>
      <c r="D66" s="16" t="inlineStr">
        <is>
          <t>Action dans les réglages, avec confirmation. Le métronome n'est pas arrêté.</t>
        </is>
      </c>
      <c r="E66" s="12" t="inlineStr">
        <is>
          <t>Indispensable</t>
        </is>
      </c>
      <c r="F66" s="16" t="inlineStr">
        <is>
          <t>—</t>
        </is>
      </c>
      <c r="G66" s="13" t="inlineStr">
        <is>
          <t>1</t>
        </is>
      </c>
      <c r="H66" s="14" t="n"/>
    </row>
    <row r="67" ht="27.75" customHeight="1">
      <c r="A67" s="10" t="inlineStr">
        <is>
          <t>EX-084</t>
        </is>
      </c>
      <c r="B67" s="11" t="inlineStr">
        <is>
          <t>Statistiques</t>
        </is>
      </c>
      <c r="C67" s="11" t="inlineStr">
        <is>
          <t>Les statistiques ne doivent pas rester plombées par mes premières notes.</t>
        </is>
      </c>
      <c r="D67" s="11" t="inlineStr">
        <is>
          <t>Fenêtre glissante sur les N dernières notes, N réglable.</t>
        </is>
      </c>
      <c r="E67" s="17" t="inlineStr">
        <is>
          <t>Important</t>
        </is>
      </c>
      <c r="F67" s="11" t="inlineStr">
        <is>
          <t>200 notes</t>
        </is>
      </c>
      <c r="G67" s="18" t="inlineStr">
        <is>
          <t>2</t>
        </is>
      </c>
      <c r="H67" s="14" t="n"/>
    </row>
    <row r="68" ht="27.75" customHeight="1">
      <c r="A68" s="15" t="inlineStr">
        <is>
          <t>EX-089</t>
        </is>
      </c>
      <c r="B68" s="16" t="inlineStr">
        <is>
          <t>Statistiques</t>
        </is>
      </c>
      <c r="C68" s="16" t="inlineStr">
        <is>
          <t>Je veux un retour immédiat sur mes toutes dernières notes.</t>
        </is>
      </c>
      <c r="D68" s="16" t="inlineStr">
        <is>
          <t>Moyenne et dispersion des 16 dernières notes, les deux ensemble. Elles alimentent la lecture instantanée (EX-066). La moyenne seule ne suffit pas : les avances y annulent les retards, si bien qu'un jeu dispersé mais centré afficherait le même chiffre qu'un jeu propre. Fenêtre fixe pour l'instant, la rendre réglable reste ouvert.</t>
        </is>
      </c>
      <c r="E68" s="17" t="inlineStr">
        <is>
          <t>Important</t>
        </is>
      </c>
      <c r="F68" s="16" t="inlineStr">
        <is>
          <t>8 notes</t>
        </is>
      </c>
      <c r="G68" s="18" t="inlineStr">
        <is>
          <t>1</t>
        </is>
      </c>
      <c r="H68" s="14" t="inlineStr">
        <is>
          <t>16 notes : assez pour noyer la variabilité d'une frappe isolée, assez peu pour qu'une correction du jeu se voie en une ou deux mesures</t>
        </is>
      </c>
    </row>
    <row r="69" ht="27.75" customHeight="1">
      <c r="A69" s="10" t="inlineStr">
        <is>
          <t>EX-086</t>
        </is>
      </c>
      <c r="B69" s="11" t="inlineStr">
        <is>
          <t>Statistiques</t>
        </is>
      </c>
      <c r="C69" s="11" t="inlineStr">
        <is>
          <t>À la fin d'une séance je veux un résumé.</t>
        </is>
      </c>
      <c r="D69" s="11" t="inlineStr">
        <is>
          <t>Durée, tempo, notes, moyenne, écart-type, pourcentage dans la zone.</t>
        </is>
      </c>
      <c r="E69" s="19" t="inlineStr">
        <is>
          <t>Souhaitable</t>
        </is>
      </c>
      <c r="F69" s="11" t="inlineStr">
        <is>
          <t>—</t>
        </is>
      </c>
      <c r="G69" s="18" t="n">
        <v>3</v>
      </c>
      <c r="H69" s="14" t="n"/>
    </row>
    <row r="70" ht="27.75" customHeight="1">
      <c r="A70" s="15" t="inlineStr">
        <is>
          <t>EX-087</t>
        </is>
      </c>
      <c r="B70" s="16" t="inlineStr">
        <is>
          <t>Statistiques</t>
        </is>
      </c>
      <c r="C70" s="16" t="inlineStr">
        <is>
          <t>L'historique des séances est conservé pour que je puisse me comparer.</t>
        </is>
      </c>
      <c r="D70" s="16" t="inlineStr">
        <is>
          <t>Liste des séances passées, stockée localement.</t>
        </is>
      </c>
      <c r="E70" s="19" t="inlineStr">
        <is>
          <t>Souhaitable</t>
        </is>
      </c>
      <c r="F70" s="16" t="inlineStr">
        <is>
          <t>—</t>
        </is>
      </c>
      <c r="G70" s="18" t="n">
        <v>3</v>
      </c>
      <c r="H70" s="14" t="n"/>
    </row>
    <row r="71" ht="27.75" customHeight="1">
      <c r="A71" s="10" t="inlineStr">
        <is>
          <t>EX-088</t>
        </is>
      </c>
      <c r="B71" s="11" t="inlineStr">
        <is>
          <t>Statistiques</t>
        </is>
      </c>
      <c r="C71" s="11" t="inlineStr">
        <is>
          <t>Je peux sortir mes données brutes pour les analyser ailleurs.</t>
        </is>
      </c>
      <c r="D71" s="11" t="inlineStr">
        <is>
          <t>Export CSV.</t>
        </is>
      </c>
      <c r="E71" s="19" t="inlineStr">
        <is>
          <t>Souhaitable</t>
        </is>
      </c>
      <c r="F71" s="11" t="inlineStr">
        <is>
          <t>—</t>
        </is>
      </c>
      <c r="G71" s="18" t="n">
        <v>3</v>
      </c>
      <c r="H71" s="14" t="n"/>
    </row>
    <row r="72" ht="27.75" customHeight="1">
      <c r="A72" s="15" t="inlineStr">
        <is>
          <t>EX-090</t>
        </is>
      </c>
      <c r="B72" s="16" t="inlineStr">
        <is>
          <t>Ergonomie</t>
        </is>
      </c>
      <c r="C72" s="16" t="inlineStr">
        <is>
          <t>L'écran ne doit pas s'éteindre pendant que je joue.</t>
        </is>
      </c>
      <c r="D72" s="16" t="inlineStr">
        <is>
          <t>Veille désactivée pendant une séance, réactivée à l'arrêt.</t>
        </is>
      </c>
      <c r="E72" s="12" t="inlineStr">
        <is>
          <t>Indispensable</t>
        </is>
      </c>
      <c r="F72" s="16" t="inlineStr">
        <is>
          <t>—</t>
        </is>
      </c>
      <c r="G72" s="13" t="inlineStr">
        <is>
          <t>1</t>
        </is>
      </c>
      <c r="H72" s="14" t="n"/>
    </row>
    <row r="73" ht="27.75" customHeight="1">
      <c r="A73" s="10" t="inlineStr">
        <is>
          <t>EX-091</t>
        </is>
      </c>
      <c r="B73" s="11" t="inlineStr">
        <is>
          <t>Ergonomie</t>
        </is>
      </c>
      <c r="C73" s="11" t="inlineStr">
        <is>
          <t>Démarrer et arrêter doit se faire d'un seul geste, sans regarder.</t>
        </is>
      </c>
      <c r="D73" s="11" t="inlineStr">
        <is>
          <t>Bouton atteignable au pouce, zone tactile large, présent dans les deux modes d'affichage.</t>
        </is>
      </c>
      <c r="E73" s="12" t="inlineStr">
        <is>
          <t>Indispensable</t>
        </is>
      </c>
      <c r="F73" s="11" t="inlineStr">
        <is>
          <t>—</t>
        </is>
      </c>
      <c r="G73" s="13" t="inlineStr">
        <is>
          <t>1</t>
        </is>
      </c>
      <c r="H73" s="14" t="n"/>
    </row>
    <row r="74" ht="27.75" customHeight="1">
      <c r="A74" s="15" t="inlineStr">
        <is>
          <t>EX-093</t>
        </is>
      </c>
      <c r="B74" s="16" t="inlineStr">
        <is>
          <t>Ergonomie</t>
        </is>
      </c>
      <c r="C74" s="16" t="inlineStr">
        <is>
          <t>Mes réglages sont mémorisés d'une séance à l'autre.</t>
        </is>
      </c>
      <c r="D74" s="16" t="inlineStr">
        <is>
          <t>Tempo, clic, volume, alignement, tolérance et clavier restaurés au lancement.</t>
        </is>
      </c>
      <c r="E74" s="17" t="inlineStr">
        <is>
          <t>Important</t>
        </is>
      </c>
      <c r="F74" s="16" t="inlineStr">
        <is>
          <t>—</t>
        </is>
      </c>
      <c r="G74" s="13" t="inlineStr">
        <is>
          <t>1</t>
        </is>
      </c>
      <c r="H74" s="14" t="n"/>
    </row>
    <row r="75" ht="27.75" customHeight="1">
      <c r="A75" s="10" t="inlineStr">
        <is>
          <t>EX-100</t>
        </is>
      </c>
      <c r="B75" s="11" t="inlineStr">
        <is>
          <t>Non fonctionnel</t>
        </is>
      </c>
      <c r="C75" s="11" t="inlineStr">
        <is>
          <t>Ce que je vois à l'écran doit suivre ma frappe sans décalage perceptible.</t>
        </is>
      </c>
      <c r="D75" s="11" t="inlineStr">
        <is>
          <t>Moins de 50 ms entre la réception du message MIDI et l'apparition du repère.</t>
        </is>
      </c>
      <c r="E75" s="12" t="inlineStr">
        <is>
          <t>Indispensable</t>
        </is>
      </c>
      <c r="F75" s="11" t="inlineStr">
        <is>
          <t>&lt; 50 ms</t>
        </is>
      </c>
      <c r="G75" s="13" t="inlineStr">
        <is>
          <t>1</t>
        </is>
      </c>
      <c r="H75" s="14" t="n"/>
    </row>
    <row r="76" ht="27.75" customHeight="1">
      <c r="A76" s="15" t="inlineStr">
        <is>
          <t>EX-102</t>
        </is>
      </c>
      <c r="B76" s="16" t="inlineStr">
        <is>
          <t>Non fonctionnel</t>
        </is>
      </c>
      <c r="C76" s="16" t="inlineStr">
        <is>
          <t>Aucune donnée personnelle collectée, aucun outil de mesure d'audience.</t>
        </is>
      </c>
      <c r="D76" s="16" t="inlineStr">
        <is>
          <t>Aucun composant tiers d'analyse ni de publicité dans le projet.</t>
        </is>
      </c>
      <c r="E76" s="12" t="inlineStr">
        <is>
          <t>Indispensable</t>
        </is>
      </c>
      <c r="F76" s="16" t="inlineStr">
        <is>
          <t>—</t>
        </is>
      </c>
      <c r="G76" s="13" t="inlineStr">
        <is>
          <t>1</t>
        </is>
      </c>
      <c r="H76" s="14" t="n"/>
    </row>
    <row r="77" ht="27.75" customHeight="1">
      <c r="A77" s="10" t="inlineStr">
        <is>
          <t>EX-101</t>
        </is>
      </c>
      <c r="B77" s="11" t="inlineStr">
        <is>
          <t>Non fonctionnel</t>
        </is>
      </c>
      <c r="C77" s="11" t="inlineStr">
        <is>
          <t>Une séance d'une heure ne doit pas vider ma batterie.</t>
        </is>
      </c>
      <c r="D77" s="11" t="inlineStr">
        <is>
          <t>Moins de 15 % par heure, écran allumé. À mesurer : le thème clair consomme davantage sur écran OLED.</t>
        </is>
      </c>
      <c r="E77" s="17" t="inlineStr">
        <is>
          <t>Important</t>
        </is>
      </c>
      <c r="F77" s="11" t="inlineStr">
        <is>
          <t>&lt; 15 %/h</t>
        </is>
      </c>
      <c r="G77" s="18" t="n">
        <v>3</v>
      </c>
      <c r="H77" s="14" t="n"/>
    </row>
    <row r="78" ht="27.75" customHeight="1">
      <c r="A78" s="15" t="inlineStr">
        <is>
          <t>EX-103</t>
        </is>
      </c>
      <c r="B78" s="16" t="inlineStr">
        <is>
          <t>Non fonctionnel</t>
        </is>
      </c>
      <c r="C78" s="16" t="inlineStr">
        <is>
          <t>L'application doit être prête à mesurer presque immédiatement.</t>
        </is>
      </c>
      <c r="D78" s="16" t="inlineStr">
        <is>
          <t>Lancement en moins de 2 s, prête en moins de 5 s.</t>
        </is>
      </c>
      <c r="E78" s="17" t="inlineStr">
        <is>
          <t>Important</t>
        </is>
      </c>
      <c r="F78" s="16" t="inlineStr">
        <is>
          <t>—</t>
        </is>
      </c>
      <c r="G78" s="18" t="inlineStr">
        <is>
          <t>2</t>
        </is>
      </c>
      <c r="H78" s="14" t="n"/>
    </row>
    <row r="79" ht="27.75" customHeight="1">
      <c r="A79" s="10" t="inlineStr">
        <is>
          <t>EX-120</t>
        </is>
      </c>
      <c r="B79" s="11" t="inlineStr">
        <is>
          <t>Publication</t>
        </is>
      </c>
      <c r="C79" s="11" t="inlineStr">
        <is>
          <t>Je dois pouvoir installer l'application sur mon téléphone sans passer par l'App Store.</t>
        </is>
      </c>
      <c r="D79" s="11" t="inlineStr">
        <is>
          <t>Distribution par TestFlight ou compilation directe depuis Xcode.</t>
        </is>
      </c>
      <c r="E79" s="17" t="inlineStr">
        <is>
          <t>Important</t>
        </is>
      </c>
      <c r="F79" s="11" t="inlineStr">
        <is>
          <t>—</t>
        </is>
      </c>
      <c r="G79" s="13" t="inlineStr">
        <is>
          <t>1</t>
        </is>
      </c>
      <c r="H79" s="14" t="n"/>
    </row>
    <row r="80" ht="27.75" customHeight="1">
      <c r="A80" s="15" t="inlineStr">
        <is>
          <t>EX-121</t>
        </is>
      </c>
      <c r="B80" s="16" t="inlineStr">
        <is>
          <t>Publication</t>
        </is>
      </c>
      <c r="C80" s="16" t="inlineStr">
        <is>
          <t>L'icône respecte les contraintes d'Apple.</t>
        </is>
      </c>
      <c r="D80" s="16" t="inlineStr">
        <is>
          <t>1024×1024, sans canal alpha, coins carrés — iOS applique son propre masque.</t>
        </is>
      </c>
      <c r="E80" s="17" t="inlineStr">
        <is>
          <t>Important</t>
        </is>
      </c>
      <c r="F80" s="16" t="inlineStr">
        <is>
          <t>—</t>
        </is>
      </c>
      <c r="G80" s="13" t="inlineStr">
        <is>
          <t>1</t>
        </is>
      </c>
      <c r="H80" s="14" t="n"/>
    </row>
    <row r="81" ht="27.75" customHeight="1">
      <c r="A81" s="10" t="inlineStr">
        <is>
          <t>EX-122</t>
        </is>
      </c>
      <c r="B81" s="11" t="inlineStr">
        <is>
          <t>Publication</t>
        </is>
      </c>
      <c r="C81" s="11" t="inlineStr">
        <is>
          <t>L'application doit passer la revue de l'App Store sans reprise d'interface.</t>
        </is>
      </c>
      <c r="D81" s="11" t="inlineStr">
        <is>
          <t>Aucun écart notable aux conventions du système : navigation, contrôles, accessibilité, absence de fonction cachée.</t>
        </is>
      </c>
      <c r="E81" s="17" t="inlineStr">
        <is>
          <t>Important</t>
        </is>
      </c>
      <c r="F81" s="11" t="inlineStr">
        <is>
          <t>—</t>
        </is>
      </c>
      <c r="G81" s="18" t="inlineStr">
        <is>
          <t>2</t>
        </is>
      </c>
      <c r="H81" s="14" t="n"/>
    </row>
    <row r="82" ht="28" customHeight="1">
      <c r="A82" s="15" t="inlineStr">
        <is>
          <t>EX-123</t>
        </is>
      </c>
      <c r="B82" s="16" t="inlineStr">
        <is>
          <t>Publication</t>
        </is>
      </c>
      <c r="C82" s="16" t="inlineStr">
        <is>
          <t>La fiche de collecte de données doit pouvoir être remplie honnêtement à « aucune ».</t>
        </is>
      </c>
      <c r="D82" s="16" t="inlineStr">
        <is>
          <t>Aucune donnée ne quitte l'appareil, ce qui doit rester vrai à chaque évolution.</t>
        </is>
      </c>
      <c r="E82" s="17" t="inlineStr">
        <is>
          <t>Important</t>
        </is>
      </c>
      <c r="F82" s="16" t="inlineStr">
        <is>
          <t>aucune</t>
        </is>
      </c>
      <c r="G82" s="18" t="inlineStr">
        <is>
          <t>2</t>
        </is>
      </c>
      <c r="H82" s="14" t="n"/>
    </row>
    <row r="83">
      <c r="A83" s="10" t="inlineStr">
        <is>
          <t>EX-124</t>
        </is>
      </c>
      <c r="B83" s="11" t="inlineStr">
        <is>
          <t>Publication</t>
        </is>
      </c>
      <c r="C83" s="11" t="inlineStr">
        <is>
          <t>Une politique de confidentialité, même minimale, doit exister.</t>
        </is>
      </c>
      <c r="D83" s="11" t="inlineStr">
        <is>
          <t>Page publique indiquant qu'aucune donnée n'est collectée.</t>
        </is>
      </c>
      <c r="E83" s="17" t="inlineStr">
        <is>
          <t>Important</t>
        </is>
      </c>
      <c r="F83" s="11" t="inlineStr">
        <is>
          <t>—</t>
        </is>
      </c>
      <c r="G83" s="18" t="n">
        <v>3</v>
      </c>
      <c r="H83" s="14" t="n"/>
    </row>
    <row r="84" ht="57" customHeight="1">
      <c r="A84" s="33" t="inlineStr">
        <is>
          <t>EX-130</t>
        </is>
      </c>
      <c r="B84" s="33" t="inlineStr">
        <is>
          <t>Récompense</t>
        </is>
      </c>
      <c r="C84" s="33" t="inlineStr">
        <is>
          <t>Je veux un retour sonore sur l'instrument qui signale que ma frappe est juste, activable et désactivable.</t>
        </is>
      </c>
      <c r="D84" s="33" t="inlineStr">
        <is>
          <t>Une section « Retour clavier » dans les Réglages, avec un interrupteur « Renvoyer une note quand la frappe est juste », désactivé par défaut. Actif, il envoie un Note On vers l'instrument à chaque frappe tombée dans la zone « juste », et le Note Off correspondant au lever de la touche qui l'a déclenché : la note de retour dure exactement ce que dure le geste. Aucune note ne survit à son déclencheur — relâchement forcé au bout de 10 s si le Note Off se perd, extinction générale à l'arrêt, à la coupure du réglage et à la perte de la source.</t>
        </is>
      </c>
      <c r="E84" s="36" t="inlineStr">
        <is>
          <t>Souhaitable</t>
        </is>
      </c>
      <c r="F84" s="33" t="inlineStr">
        <is>
          <t>désactivé</t>
        </is>
      </c>
      <c r="G84" s="38" t="inlineStr">
        <is>
          <t>3</t>
        </is>
      </c>
      <c r="H84" s="35" t="inlineStr">
        <is>
          <t>testé et validé sur mon clavier le 27/07/2026</t>
        </is>
      </c>
    </row>
    <row r="85" ht="57" customHeight="1">
      <c r="A85" s="33" t="inlineStr">
        <is>
          <t>EX-131</t>
        </is>
      </c>
      <c r="B85" s="33" t="inlineStr">
        <is>
          <t>Récompense</t>
        </is>
      </c>
      <c r="C85" s="33" t="inlineStr">
        <is>
          <t>Je veux choisir la forme de ce retour : soit une note ajoutée à l'octave, soit le silence si je suis imprécis.</t>
        </is>
      </c>
      <c r="D85" s="33" t="inlineStr">
        <is>
          <t>Un sélecteur à deux choix, actif seulement si EX-130 l'est : « Note à l'octave » et « Même note ». Libellés courts parce que l'en-tête a déjà dit où part le son et l'interrupteur à quelle condition — chaque niveau ajoute une information, aucun ne répète le précédent. Le pied de page donne d'abord l'intention, commune aux deux modes, puis la consigne de Local Control propre à celui qui est choisi : elles diffèrent d'un mode à l'autre et se contrediraient dans un pavé unique.</t>
        </is>
      </c>
      <c r="E85" s="36" t="inlineStr">
        <is>
          <t>Souhaitable</t>
        </is>
      </c>
      <c r="F85" s="33" t="inlineStr">
        <is>
          <t>note à l'octave</t>
        </is>
      </c>
      <c r="G85" s="38" t="inlineStr">
        <is>
          <t>3</t>
        </is>
      </c>
      <c r="H85" s="35" t="inlineStr">
        <is>
          <t>le mode muet suppose le Local Control coupé sur l'instrument, sinon il joue déjà tout seul en local</t>
        </is>
      </c>
    </row>
    <row r="86" ht="57" customHeight="1">
      <c r="A86" s="33" t="inlineStr">
        <is>
          <t>EX-133</t>
        </is>
      </c>
      <c r="B86" s="33" t="inlineStr">
        <is>
          <t>Instrument</t>
        </is>
      </c>
      <c r="C86" s="33" t="inlineStr">
        <is>
          <t>Je veux que le téléphone sonorise lui-même les notes que je joue, avec un timbre que je choisis, pour que mes notes et le clic sortent du même haut-parleur.</t>
        </is>
      </c>
      <c r="D86" s="33" t="inlineStr">
        <is>
          <t>Une section « Instrument » distincte du retour clavier : un interrupteur, un choix parmi cinq timbres synthétisés — piano (défaut), piano électrique, clavecin, guitare acoustique, marimba — et un bouton d'essai. Toutes les notes sonnent, justes ou non ; le seuil de vélocité ne s'y applique pas, le filtre de canal si. Pédale forte suivie. Polyphonie de 24 voix avec vol de la plus ancienne. Le module répond métronome à l'arrêt. Rendu dans le même callback audio que le clic, donc même chemin et même latence.</t>
        </is>
      </c>
      <c r="E86" s="36" t="inlineStr">
        <is>
          <t>Souhaitable</t>
        </is>
      </c>
      <c r="F86" s="33" t="inlineStr">
        <is>
          <t>désactivé, piano</t>
        </is>
      </c>
      <c r="G86" s="38" t="inlineStr">
        <is>
          <t>3</t>
        </is>
      </c>
      <c r="H86" s="35" t="n"/>
    </row>
  </sheetData>
  <autoFilter ref="A1:H85"/>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4"/>
  <sheetViews>
    <sheetView showGridLines="0" zoomScaleNormal="100" workbookViewId="0">
      <selection activeCell="A1" sqref="A1"/>
    </sheetView>
  </sheetViews>
  <sheetFormatPr baseColWidth="10" defaultColWidth="8.6640625" defaultRowHeight="15"/>
  <cols>
    <col width="30" customWidth="1" min="1" max="1"/>
    <col width="12" customWidth="1" min="2" max="2"/>
    <col width="10" customWidth="1" min="3" max="4"/>
    <col width="12" customWidth="1" min="5" max="5"/>
    <col width="24" customWidth="1" min="6" max="6"/>
    <col width="12" customWidth="1" min="7" max="7"/>
    <col width="34" customWidth="1" min="8" max="8"/>
  </cols>
  <sheetData>
    <row r="1" ht="27.75" customHeight="1">
      <c r="A1" s="7" t="inlineStr">
        <is>
          <t>Paramètre</t>
        </is>
      </c>
      <c r="B1" s="7" t="inlineStr">
        <is>
          <t>Défaut</t>
        </is>
      </c>
      <c r="C1" s="7" t="inlineStr">
        <is>
          <t>Min</t>
        </is>
      </c>
      <c r="D1" s="7" t="inlineStr">
        <is>
          <t>Max</t>
        </is>
      </c>
      <c r="E1" s="7" t="inlineStr">
        <is>
          <t>Unité</t>
        </is>
      </c>
      <c r="F1" s="7" t="inlineStr">
        <is>
          <t>Où il se règle</t>
        </is>
      </c>
      <c r="G1" s="7" t="inlineStr">
        <is>
          <t>Exigence</t>
        </is>
      </c>
      <c r="H1" s="7" t="inlineStr">
        <is>
          <t>Mes notes</t>
        </is>
      </c>
    </row>
    <row r="2" ht="27.75" customHeight="1">
      <c r="A2" s="16" t="inlineStr">
        <is>
          <t>Tempo</t>
        </is>
      </c>
      <c r="B2" s="15" t="inlineStr">
        <is>
          <t>80</t>
        </is>
      </c>
      <c r="C2" s="15" t="inlineStr">
        <is>
          <t>30</t>
        </is>
      </c>
      <c r="D2" s="15" t="inlineStr">
        <is>
          <t>240</t>
        </is>
      </c>
      <c r="E2" s="15" t="inlineStr">
        <is>
          <t>bpm</t>
        </is>
      </c>
      <c r="F2" s="16" t="inlineStr">
        <is>
          <t>écran de mesure</t>
        </is>
      </c>
      <c r="G2" s="15" t="inlineStr">
        <is>
          <t>EX-040</t>
        </is>
      </c>
      <c r="H2" s="14" t="inlineStr">
        <is>
          <t>recopié depuis l'horloge du clavier quand elle est suivie, et conservé après l'arrêt</t>
        </is>
      </c>
    </row>
    <row r="3" ht="27.75" customHeight="1">
      <c r="A3" s="11" t="inlineStr">
        <is>
          <t>Clic audible</t>
        </is>
      </c>
      <c r="B3" s="10" t="inlineStr">
        <is>
          <t>activé</t>
        </is>
      </c>
      <c r="C3" s="10" t="inlineStr">
        <is>
          <t>—</t>
        </is>
      </c>
      <c r="D3" s="10" t="inlineStr">
        <is>
          <t>—</t>
        </is>
      </c>
      <c r="E3" s="10" t="inlineStr">
        <is>
          <t>—</t>
        </is>
      </c>
      <c r="F3" s="11" t="inlineStr">
        <is>
          <t>écran de mesure</t>
        </is>
      </c>
      <c r="G3" s="10" t="inlineStr">
        <is>
          <t>EX-043</t>
        </is>
      </c>
      <c r="H3" s="14" t="n"/>
    </row>
    <row r="4" ht="27.75" customHeight="1">
      <c r="A4" s="16" t="inlineStr">
        <is>
          <t>Volume du clic</t>
        </is>
      </c>
      <c r="B4" s="15" t="inlineStr">
        <is>
          <t>50</t>
        </is>
      </c>
      <c r="C4" s="15" t="inlineStr">
        <is>
          <t>0</t>
        </is>
      </c>
      <c r="D4" s="15" t="inlineStr">
        <is>
          <t>100</t>
        </is>
      </c>
      <c r="E4" s="15" t="inlineStr">
        <is>
          <t>%</t>
        </is>
      </c>
      <c r="F4" s="16" t="inlineStr">
        <is>
          <t>écran de mesure</t>
        </is>
      </c>
      <c r="G4" s="15" t="inlineStr">
        <is>
          <t>EX-043</t>
        </is>
      </c>
      <c r="H4" s="14" t="n"/>
    </row>
    <row r="5" ht="27.75" customHeight="1">
      <c r="A5" s="11" t="inlineStr">
        <is>
          <t>Correction d'alignement</t>
        </is>
      </c>
      <c r="B5" s="10" t="inlineStr">
        <is>
          <t>0</t>
        </is>
      </c>
      <c r="C5" s="10" t="inlineStr">
        <is>
          <t>-60</t>
        </is>
      </c>
      <c r="D5" s="10" t="inlineStr">
        <is>
          <t>+60</t>
        </is>
      </c>
      <c r="E5" s="10" t="inlineStr">
        <is>
          <t>ms</t>
        </is>
      </c>
      <c r="F5" s="11" t="inlineStr">
        <is>
          <t>réglages</t>
        </is>
      </c>
      <c r="G5" s="10" t="inlineStr">
        <is>
          <t>EX-035</t>
        </is>
      </c>
      <c r="H5" s="14" t="inlineStr">
        <is>
          <t>s'ajoute à la compensation automatique</t>
        </is>
      </c>
    </row>
    <row r="6" ht="27.75" customHeight="1">
      <c r="A6" s="16" t="inlineStr">
        <is>
          <t>Zone « juste »</t>
        </is>
      </c>
      <c r="B6" s="15" t="inlineStr">
        <is>
          <t>5</t>
        </is>
      </c>
      <c r="C6" s="15" t="inlineStr">
        <is>
          <t>1</t>
        </is>
      </c>
      <c r="D6" s="15" t="inlineStr">
        <is>
          <t>15</t>
        </is>
      </c>
      <c r="E6" s="15" t="inlineStr">
        <is>
          <t>% de la subdivision</t>
        </is>
      </c>
      <c r="F6" s="16" t="inlineStr">
        <is>
          <t>réglages</t>
        </is>
      </c>
      <c r="G6" s="15" t="inlineStr">
        <is>
          <t>EX-063</t>
        </is>
      </c>
      <c r="H6" s="14" t="inlineStr">
        <is>
          <t>jamais moins de 20 ms, seuil courant de perception d'un décalage</t>
        </is>
      </c>
    </row>
    <row r="7" ht="27.75" customHeight="1">
      <c r="A7" s="11" t="inlineStr">
        <is>
          <t>Échelle horizontale</t>
        </is>
      </c>
      <c r="B7" s="10" t="inlineStr">
        <is>
          <t>100</t>
        </is>
      </c>
      <c r="C7" s="10" t="inlineStr">
        <is>
          <t>25</t>
        </is>
      </c>
      <c r="D7" s="10" t="inlineStr">
        <is>
          <t>100</t>
        </is>
      </c>
      <c r="E7" s="10" t="inlineStr">
        <is>
          <t>% de la ½ subdivision</t>
        </is>
      </c>
      <c r="F7" s="11" t="inlineStr">
        <is>
          <t>réglages</t>
        </is>
      </c>
      <c r="G7" s="10" t="inlineStr">
        <is>
          <t>EX-067</t>
        </is>
      </c>
      <c r="H7" s="14" t="inlineStr">
        <is>
          <t>à 100 %, le graphe couvre exactement la plage qu'un écart peut atteindre</t>
        </is>
      </c>
    </row>
    <row r="8" ht="27.75" customHeight="1">
      <c r="A8" s="16" t="inlineStr">
        <is>
          <t>Profondeur d'historique</t>
        </is>
      </c>
      <c r="B8" s="15" t="inlineStr">
        <is>
          <t>6</t>
        </is>
      </c>
      <c r="C8" s="15" t="inlineStr">
        <is>
          <t>—</t>
        </is>
      </c>
      <c r="D8" s="15" t="inlineStr">
        <is>
          <t>—</t>
        </is>
      </c>
      <c r="E8" s="15" t="inlineStr">
        <is>
          <t>s</t>
        </is>
      </c>
      <c r="F8" s="16" t="inlineStr">
        <is>
          <t>fixe</t>
        </is>
      </c>
      <c r="G8" s="15" t="inlineStr">
        <is>
          <t>EX-061</t>
        </is>
      </c>
      <c r="H8" s="14" t="inlineStr">
        <is>
          <t>détermine la vitesse de défilement</t>
        </is>
      </c>
    </row>
    <row r="9" ht="27.75" customHeight="1">
      <c r="A9" s="11" t="inlineStr">
        <is>
          <t>Seuil de régularité</t>
        </is>
      </c>
      <c r="B9" s="10" t="inlineStr">
        <is>
          <t>5</t>
        </is>
      </c>
      <c r="C9" s="10" t="inlineStr">
        <is>
          <t>—</t>
        </is>
      </c>
      <c r="D9" s="10" t="inlineStr">
        <is>
          <t>—</t>
        </is>
      </c>
      <c r="E9" s="10" t="inlineStr">
        <is>
          <t>% intervalle</t>
        </is>
      </c>
      <c r="F9" s="11" t="inlineStr">
        <is>
          <t>fixe</t>
        </is>
      </c>
      <c r="G9" s="10" t="inlineStr">
        <is>
          <t>EX-082</t>
        </is>
      </c>
      <c r="H9" s="14" t="inlineStr">
        <is>
          <t>au-delà, l'affichage passe en couleur d'alerte</t>
        </is>
      </c>
    </row>
    <row r="10" ht="27.75" customHeight="1">
      <c r="A10" s="16" t="inlineStr">
        <is>
          <t>Plancher de régularité</t>
        </is>
      </c>
      <c r="B10" s="15" t="inlineStr">
        <is>
          <t>15</t>
        </is>
      </c>
      <c r="C10" s="15" t="inlineStr">
        <is>
          <t>—</t>
        </is>
      </c>
      <c r="D10" s="15" t="inlineStr">
        <is>
          <t>—</t>
        </is>
      </c>
      <c r="E10" s="15" t="inlineStr">
        <is>
          <t>ms</t>
        </is>
      </c>
      <c r="F10" s="16" t="inlineStr">
        <is>
          <t>fixe</t>
        </is>
      </c>
      <c r="G10" s="15" t="inlineStr">
        <is>
          <t>EX-082</t>
        </is>
      </c>
      <c r="H10" s="14" t="inlineStr">
        <is>
          <t>prend le relais aux tempos rapides, où un pourcentage seul serait hors d'atteinte</t>
        </is>
      </c>
    </row>
    <row r="11" ht="27.75" customHeight="1">
      <c r="A11" s="16" t="inlineStr">
        <is>
          <t>Démarrage synchronisé</t>
        </is>
      </c>
      <c r="B11" s="15" t="inlineStr">
        <is>
          <t>désactivé</t>
        </is>
      </c>
      <c r="C11" s="15" t="inlineStr">
        <is>
          <t>—</t>
        </is>
      </c>
      <c r="D11" s="15" t="inlineStr">
        <is>
          <t>—</t>
        </is>
      </c>
      <c r="E11" s="15" t="inlineStr">
        <is>
          <t>—</t>
        </is>
      </c>
      <c r="F11" s="16" t="inlineStr">
        <is>
          <t>réglages</t>
        </is>
      </c>
      <c r="G11" s="15" t="inlineStr">
        <is>
          <t>EX-053</t>
        </is>
      </c>
      <c r="H11" s="14" t="n"/>
    </row>
    <row r="12" ht="27.75" customHeight="1">
      <c r="A12" s="16" t="inlineStr">
        <is>
          <t>Suivi de l'horloge MIDI</t>
        </is>
      </c>
      <c r="B12" s="15" t="inlineStr">
        <is>
          <t>suit EX-053</t>
        </is>
      </c>
      <c r="C12" s="15" t="inlineStr">
        <is>
          <t>—</t>
        </is>
      </c>
      <c r="D12" s="15" t="inlineStr">
        <is>
          <t>—</t>
        </is>
      </c>
      <c r="E12" s="15" t="inlineStr">
        <is>
          <t>—</t>
        </is>
      </c>
      <c r="F12" s="16" t="inlineStr">
        <is>
          <t>réglages (via Démarrage synchronisé)</t>
        </is>
      </c>
      <c r="G12" s="15" t="inlineStr">
        <is>
          <t>EX-054</t>
        </is>
      </c>
      <c r="H12" s="14" t="inlineStr">
        <is>
          <t>exige que le clavier émette du MIDI Clock ; certains n'envoient que Start et Stop</t>
        </is>
      </c>
    </row>
    <row r="13" ht="27.75" customHeight="1">
      <c r="A13" s="16" t="inlineStr">
        <is>
          <t>Récompense sonore</t>
        </is>
      </c>
      <c r="B13" s="15" t="inlineStr">
        <is>
          <t>désactivé</t>
        </is>
      </c>
      <c r="C13" s="15" t="inlineStr">
        <is>
          <t>—</t>
        </is>
      </c>
      <c r="D13" s="15" t="inlineStr">
        <is>
          <t>—</t>
        </is>
      </c>
      <c r="E13" s="15" t="inlineStr">
        <is>
          <t>—</t>
        </is>
      </c>
      <c r="F13" s="16" t="inlineStr">
        <is>
          <t>réglages</t>
        </is>
      </c>
      <c r="G13" s="15" t="inlineStr">
        <is>
          <t>EX-130</t>
        </is>
      </c>
      <c r="H13" s="14" t="n"/>
    </row>
    <row r="14" ht="27.75" customHeight="1">
      <c r="A14" s="16" t="inlineStr">
        <is>
          <t>Mode de récompense</t>
        </is>
      </c>
      <c r="B14" s="15" t="inlineStr">
        <is>
          <t>note à l'octave</t>
        </is>
      </c>
      <c r="C14" s="15" t="inlineStr">
        <is>
          <t>—</t>
        </is>
      </c>
      <c r="D14" s="15" t="inlineStr">
        <is>
          <t>—</t>
        </is>
      </c>
      <c r="E14" s="15" t="inlineStr">
        <is>
          <t>—</t>
        </is>
      </c>
      <c r="F14" s="16" t="inlineStr">
        <is>
          <t>réglages</t>
        </is>
      </c>
      <c r="G14" s="15" t="inlineStr">
        <is>
          <t>EX-131</t>
        </is>
      </c>
      <c r="H14" s="14" t="inlineStr">
        <is>
          <t>deux options : note à l'octave, ou note muette si imprécise</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35"/>
  <sheetViews>
    <sheetView showGridLines="0" zoomScaleNormal="100" workbookViewId="0">
      <selection activeCell="A9" sqref="A9"/>
    </sheetView>
  </sheetViews>
  <sheetFormatPr baseColWidth="10" defaultColWidth="8.6640625" defaultRowHeight="15"/>
  <cols>
    <col width="26" customWidth="1" min="1" max="1"/>
    <col width="54" customWidth="1" min="2" max="3"/>
    <col width="44" customWidth="1" min="4" max="4"/>
  </cols>
  <sheetData>
    <row r="1" ht="27.75" customHeight="1">
      <c r="A1" s="7" t="inlineStr">
        <is>
          <t>Sujet</t>
        </is>
      </c>
      <c r="B1" s="7" t="inlineStr">
        <is>
          <t>Constat</t>
        </is>
      </c>
      <c r="C1" s="7" t="inlineStr">
        <is>
          <t>Décision</t>
        </is>
      </c>
      <c r="D1" s="7" t="inlineStr">
        <is>
          <t>Ce qui arrive si on l'ignore</t>
        </is>
      </c>
    </row>
    <row r="2" ht="45.75" customHeight="1">
      <c r="A2" s="20" t="inlineStr">
        <is>
          <t>Identité graphique propre</t>
        </is>
      </c>
      <c r="B2" s="20" t="inlineStr">
        <is>
          <t>La première version portait une palette inventée, des polices importées et des cadres dessinés à la main. Cela se voit immédiatement.</t>
        </is>
      </c>
      <c r="C2" s="20" t="inlineStr">
        <is>
          <t>Abandonnée. Vocabulaire visuel du système uniquement. Les couleurs sémantiques s'adaptent seules au thème, au contraste renforcé et aux réglages d'accessibilité — ce qu'une palette figée ne peut pas faire.</t>
        </is>
      </c>
      <c r="D2" s="20" t="inlineStr">
        <is>
          <t>Une application qui détonne sur le téléphone, et un handicap à la revue App Store.</t>
        </is>
      </c>
    </row>
    <row r="3" ht="30" customHeight="1">
      <c r="A3" s="21" t="inlineStr">
        <is>
          <t>Web MIDI absent d'iOS</t>
        </is>
      </c>
      <c r="B3" s="21" t="inlineStr">
        <is>
          <t>Safari sur iPhone n'implémente pas Web MIDI.</t>
        </is>
      </c>
      <c r="C3" s="21" t="inlineStr">
        <is>
          <t>Application native, MIDI par CoreMIDI.</t>
        </is>
      </c>
      <c r="D3" s="21" t="inlineStr">
        <is>
          <t>Le besoin est irréalisable sur iPhone.</t>
        </is>
      </c>
    </row>
    <row r="4" ht="30" customHeight="1">
      <c r="A4" s="20" t="inlineStr">
        <is>
          <t>Micro comme source</t>
        </is>
      </c>
      <c r="B4" s="20" t="inlineStr">
        <is>
          <t>Détection d'attaque peu fiable, et latence d'entrée inconnue de 20 à 80 ms qui fausse la grandeur mesurée.</t>
        </is>
      </c>
      <c r="C4" s="20" t="inlineStr">
        <is>
          <t>Écarté. MIDI uniquement.</t>
        </is>
      </c>
      <c r="D4" s="20" t="inlineStr">
        <is>
          <t>Des chiffres faux d'un ordre de grandeur comparable à ce qu'on mesure.</t>
        </is>
      </c>
    </row>
    <row r="5" ht="45.75" customHeight="1">
      <c r="A5" s="21" t="inlineStr">
        <is>
          <t>Programmation du clic</t>
        </is>
      </c>
      <c r="B5" s="21" t="inlineStr">
        <is>
          <t>AVAudioPlayerNode.scheduleBuffer exige lastRenderTime, qui n'existe qu'une fois le nœud en train de rendre — ce qui n'arrive que si un buffer lui a été programmé.</t>
        </is>
      </c>
      <c r="C5" s="21" t="inlineStr">
        <is>
          <t>Blocage circulaire. Remplacé par AVAudioSourceNode : un callback de rendu qui tient son propre compteur d'échantillons et ne décroche jamais entre deux clics.</t>
        </is>
      </c>
      <c r="D5" s="21" t="inlineStr">
        <is>
          <t>Un métronome totalement muet, sans erreur ni message.</t>
        </is>
      </c>
    </row>
    <row r="6" ht="34.5" customHeight="1">
      <c r="A6" s="20" t="inlineStr">
        <is>
          <t>Défilement saccadé</t>
        </is>
      </c>
      <c r="B6" s="20" t="inlineStr">
        <is>
          <t>Le graphe ne se redessinait qu'une fois par temps au lieu de suivre le rafraîchissement de l'écran.</t>
        </is>
      </c>
      <c r="C6" s="20" t="inlineStr">
        <is>
          <t>Le contenu d'une vue temporelle doit dépendre de la date qu'elle fournit, sinon SwiftUI le juge invariant. Calculer l'instant hors du rendu, pas dedans.</t>
        </is>
      </c>
      <c r="D6" s="20" t="inlineStr">
        <is>
          <t>Un défilement inutilisable, et aucun avertissement du compilateur.</t>
        </is>
      </c>
    </row>
    <row r="7" ht="34.5" customHeight="1">
      <c r="A7" s="21" t="inlineStr">
        <is>
          <t>Échecs silencieux</t>
        </is>
      </c>
      <c r="B7" s="21" t="inlineStr">
        <is>
          <t>Plusieurs défauts se sont manifestés par une absence totale d'effet : clic muet, image figée. Aucun message nulle part.</t>
        </is>
      </c>
      <c r="C7" s="21" t="inlineStr">
        <is>
          <t>Tout chemin d'erreur remonte un message à l'écran. Aucun bloc de rattrapage vide. Un bouton de test par sous-système.</t>
        </is>
      </c>
      <c r="D7" s="21" t="inlineStr">
        <is>
          <t>Des heures de recherche sur un symptôme qui ne dit rien.</t>
        </is>
      </c>
    </row>
    <row r="8" ht="30" customHeight="1">
      <c r="A8" s="20" t="inlineStr">
        <is>
          <t>Casque sans fil</t>
        </is>
      </c>
      <c r="B8" s="20" t="inlineStr">
        <is>
          <t>Une sortie Bluetooth ajoute plus de 150 ms. Le joueur se cale sur ce qu'il entend.</t>
        </is>
      </c>
      <c r="C8" s="20" t="inlineStr">
        <is>
          <t>Compensation automatique, plus avertissement explicite au-delà de 60 ms.</t>
        </is>
      </c>
      <c r="D8" s="20" t="inlineStr">
        <is>
          <t>Tout paraît en retard, et la correction du jeu part dans le mauvais sens.</t>
        </is>
      </c>
    </row>
    <row r="9" ht="34.5" customHeight="1">
      <c r="A9" s="21" t="inlineStr">
        <is>
          <t>Calibration sur le ressenti</t>
        </is>
      </c>
      <c r="B9" s="21" t="inlineStr">
        <is>
          <t>La tentation est de régler l'alignement pour que l'application affiche zéro quand on se sent juste.</t>
        </is>
      </c>
      <c r="C9" s="21" t="inlineStr">
        <is>
          <t>Proscrit, et expliqué dans les réglages : on anticipe naturellement de 10 à 20 ms. Calibrer ainsi inscrit son propre défaut dans le zéro de l'appareil.</t>
        </is>
      </c>
      <c r="D9" s="21" t="inlineStr">
        <is>
          <t>Un instrument incapable de contredire son utilisateur, donc inutile.</t>
        </is>
      </c>
    </row>
    <row r="10" ht="34.5" customHeight="1">
      <c r="A10" s="20" t="inlineStr">
        <is>
          <t>Bluetooth MIDI</t>
        </is>
      </c>
      <c r="B10" s="20" t="inlineStr">
        <is>
          <t>Ajoute 10 à 20 ms et une gigue variable selon le clavier.</t>
        </is>
      </c>
      <c r="C10" s="20" t="inlineStr">
        <is>
          <t>Toléré, mais avertissement affiché quand la source active est en Bluetooth. L'USB reste recommandé pour la mesure.</t>
        </is>
      </c>
      <c r="D10" s="20" t="inlineStr">
        <is>
          <t>Un biais attribué au jeu alors qu'il vient du transport.</t>
        </is>
      </c>
    </row>
    <row r="11" ht="30" customHeight="1">
      <c r="A11" s="21" t="inlineStr">
        <is>
          <t>Horodatage MIDI à zéro</t>
        </is>
      </c>
      <c r="B11" s="21" t="inlineStr">
        <is>
          <t>Certains pilotes transmettent un horodatage nul, qui signifie « maintenant ».</t>
        </is>
      </c>
      <c r="C11" s="21" t="inlineStr">
        <is>
          <t>Repli sur l'heure courante, avec mention que la précision est dégradée.</t>
        </is>
      </c>
      <c r="D11" s="21" t="inlineStr">
        <is>
          <t>Précision silencieusement perdue.</t>
        </is>
      </c>
    </row>
    <row r="12" ht="34.5" customHeight="1">
      <c r="A12" s="20" t="inlineStr">
        <is>
          <t>Vibration sur note juste</t>
        </is>
      </c>
      <c r="B12" s="20" t="inlineStr">
        <is>
          <t>Envisagée pour sentir qu'une note est tombée dans la tolérance. Développée puis retirée.</t>
        </is>
      </c>
      <c r="C12" s="20" t="inlineStr">
        <is>
          <t>Écartée : la justesse rythmique est une perception auditive. Une vibration arrive après la note et ne dit pas de combien on était à côté.</t>
        </is>
      </c>
      <c r="D12" s="20" t="inlineStr">
        <is>
          <t>Une fonction construite, testée et abandonnée après coup.</t>
        </is>
      </c>
    </row>
    <row r="13" ht="34.5" customHeight="1">
      <c r="A13" s="21" t="inlineStr">
        <is>
          <t>Portrait inversé</t>
        </is>
      </c>
      <c r="B13" s="21" t="inlineStr">
        <is>
          <t>Souhaité pour poser le téléphone câble vers le haut. iOS le refuse sur tous les iPhone à Face ID, quoi qu'on déclare dans la cible.</t>
        </is>
      </c>
      <c r="C13" s="21" t="inlineStr">
        <is>
          <t>Écarté. La rotation logicielle fonctionne mais les menus système ne tournent pas avec. La réponse est matérielle : un adaptateur USB coudé.</t>
        </is>
      </c>
      <c r="D13" s="21" t="inlineStr">
        <is>
          <t>Du temps passé sur un réglage sans effet sur le matériel visé.</t>
        </is>
      </c>
    </row>
    <row r="14" ht="34.5" customHeight="1">
      <c r="A14" s="20" t="inlineStr">
        <is>
          <t>Thème clair et batterie</t>
        </is>
      </c>
      <c r="B14" s="20" t="inlineStr">
        <is>
          <t>Un fond clair consomme davantage sur écran OLED qu'un fond sombre.</t>
        </is>
      </c>
      <c r="C14" s="20" t="inlineStr">
        <is>
          <t>Le thème suit le réglage système, sans imposition. À mesurer sur une séance réelle contre l'objectif de 15 % par heure.</t>
        </is>
      </c>
      <c r="D14" s="20" t="inlineStr">
        <is>
          <t>Un objectif de consommation manqué sans qu'on sache pourquoi.</t>
        </is>
      </c>
    </row>
    <row r="15" ht="30" customHeight="1">
      <c r="A15" s="21" t="inlineStr">
        <is>
          <t>Pédale de sustain</t>
        </is>
      </c>
      <c r="B15" s="21" t="inlineStr">
        <is>
          <t>La pédale génère du trafic MIDI qui n'est pas une frappe.</t>
        </is>
      </c>
      <c r="C15" s="21" t="inlineStr">
        <is>
          <t>CC64 ignoré. Hors périmètre.</t>
        </is>
      </c>
      <c r="D15" s="21" t="inlineStr">
        <is>
          <t>Des notes fantômes comptées comme des erreurs de placement.</t>
        </is>
      </c>
    </row>
    <row r="16">
      <c r="A16" s="22" t="n"/>
      <c r="B16" s="22" t="n"/>
      <c r="C16" s="20" t="n"/>
      <c r="D16" s="20" t="n"/>
    </row>
    <row r="17" ht="45.75" customHeight="1">
      <c r="A17" s="22" t="inlineStr">
        <is>
          <t>Start sans horloge</t>
        </is>
      </c>
      <c r="B17" s="22" t="inlineStr">
        <is>
          <t>Le message Start donne l'instant de départ, jamais le tempo. Deux horloges à 80,0 et 80,3 bpm dérivent d'une seconde en trois minutes.</t>
        </is>
      </c>
      <c r="C17" s="20" t="inlineStr">
        <is>
          <t>Le suivi de l'horloge MIDI est proposé séparément. Sans lui, la synchronisation ne vaut que pour quelques dizaines de secondes — ce qui suffit à régler l'alignement, mais pas à travailler.</t>
        </is>
      </c>
      <c r="D17" s="20" t="inlineStr">
        <is>
          <t>Une dérive lente attribuée au jeu alors qu'elle vient des deux horloges.</t>
        </is>
      </c>
    </row>
    <row r="18" ht="45.75" customHeight="1">
      <c r="A18" s="22" t="inlineStr">
        <is>
          <t>Recalage brutal sur l'horloge</t>
        </is>
      </c>
      <c r="B18" s="22" t="inlineStr">
        <is>
          <t>Réancrer la grille à chaque noire reçue fait sauter ou doubler un clic.</t>
        </is>
      </c>
      <c r="C18" s="20" t="inlineStr">
        <is>
          <t>Période et phase corrigées séparément : période lissée, phase décalée d'au plus 20 ms par ancrage. Les intervalles hors de 20 à 300 bpm sont ignorés comme du bruit.</t>
        </is>
      </c>
      <c r="D18" s="20" t="inlineStr">
        <is>
          <t>Un métronome qui bafouille à chaque battement.</t>
        </is>
      </c>
    </row>
    <row r="19" ht="45.75" customHeight="1">
      <c r="A19" s="22" t="inlineStr">
        <is>
          <t>Résidu de balayage clavier</t>
        </is>
      </c>
      <c r="B19" s="22" t="inlineStr">
        <is>
          <t>Aligner à l'oreille sur la boîte à rythmes annule la différence entre les chaînes audio, mais pas le délai entre l'enfoncement de la touche et l'émission du note-on.</t>
        </is>
      </c>
      <c r="C19" s="20" t="inlineStr">
        <is>
          <t>Résidu accepté : 3 à 10 ms selon le clavier, non mesurable sans instrumentation externe.</t>
        </is>
      </c>
      <c r="D19" s="20" t="inlineStr">
        <is>
          <t>Une confiance excessive dans un zéro qui reste légèrement décalé.</t>
        </is>
      </c>
    </row>
    <row r="20" ht="45.75" customHeight="1">
      <c r="A20" s="22" t="inlineStr">
        <is>
          <t>Suivi d'horloge séparé du démarrage synchronisé</t>
        </is>
      </c>
      <c r="B20" s="22" t="inlineStr">
        <is>
          <t>Les deux réglages étaient indépendants, mais jamais utilisés l'un sans l'autre en pratique : sans le démarrage synchronisé, le suivi d'horloge n'a pas de sens.</t>
        </is>
      </c>
      <c r="C20" s="20" t="inlineStr">
        <is>
          <t>Fusionnés en un seul réglage « Démarrage synchronisé » (EX-053), qui active aussi le suivi d'horloge (EX-054). Plus de bascule séparée dans les Réglages.</t>
        </is>
      </c>
      <c r="D20" s="20" t="inlineStr">
        <is>
          <t>Un réglage inutile dans l'interface, qui complique le choix sans offrir de cas d'usage réel.</t>
        </is>
      </c>
    </row>
    <row r="21" ht="45.75" customHeight="1">
      <c r="A21" s="22" t="inlineStr">
        <is>
          <t>Course sur l'état de la grille</t>
        </is>
      </c>
      <c r="B21" s="22" t="inlineStr">
        <is>
          <t>anchor/period/stepIndex/nextStep étaient écrits depuis la queue de scheduling (schedule, followClock) et lus depuis la queue principale (nearestStep, à chaque note jouée) sans aucune synchronisation.</t>
        </is>
      </c>
      <c r="C21" s="20" t="inlineStr">
        <is>
          <t>Un verrou (NSLock) protège désormais les quatre variables, en lecture comme en écriture, quelle que soit la queue d'où l'accès a lieu.</t>
        </is>
      </c>
      <c r="D21" s="20" t="inlineStr">
        <is>
          <t>Un écart de justesse incohérent et différent à chaque fois, uniquement quand la synchro d'horloge est active — très difficile à diagnostiquer sans relire tout le threading.</t>
        </is>
      </c>
    </row>
    <row r="22" ht="45.75" customHeight="1">
      <c r="A22" s="22" t="inlineStr">
        <is>
          <t>Amplification du bruit par stepIndex dans le suivi d'horloge</t>
        </is>
      </c>
      <c r="B22" s="22" t="inlineStr">
        <is>
          <t>Recalculer nextStep = anchor + stepIndex * newPeriod à chaque correction multipliait le moindre bruit de mesure de période par stepIndex, qui ne fait que grandir pendant la séance : quelques dixièmes de ms de bruit devenaient un saut de plusieurs dizaines de ms après quelques dizaines de secondes.</t>
        </is>
      </c>
      <c r="C22" s="20" t="inlineStr">
        <is>
          <t>Réancrage local à chaque correction de phase, stepIndex remis à 0 à chaque fois : l'erreur reste bornée par la correction de phase (±20 ms), elle ne peut plus être amplifiée par la durée de la séance.</t>
        </is>
      </c>
      <c r="D22" s="20" t="inlineStr">
        <is>
          <t>La synchro sur l'horloge du clavier devient inutilisable au bout de quelques dizaines de secondes, un symptôme qui grandit avec la durée — facile à confondre avec un simple problème de gigue matérielle.</t>
        </is>
      </c>
    </row>
    <row r="23" ht="45.75" customHeight="1">
      <c r="A23" s="22" t="inlineStr">
        <is>
          <t>Tolérance absolue ou relative à la subdivision</t>
        </is>
      </c>
      <c r="B23" s="22" t="inlineStr">
        <is>
          <t>Une zone juste réglée en millisecondes vaut la même largeur quelle que soit la grille : ±50 ms représentent 5 % de l'intervalle sur une noire à 60 bpm, mais 43 % sur une double-croche à 128 bpm, où l'app validerait un placement qui s'entend comme maladroit.</t>
        </is>
      </c>
      <c r="C23" s="20" t="inlineStr">
        <is>
          <t>Exprimée en pourcentage de la subdivision, avec plancher absolu à 20 ms — la même forme que le seuil de régularité (EX-082), pour la même raison : un pourcentage seul finirait par exiger mieux que ce qu'une main peut faire et qu'une oreille peut entendre. Un seul curseur, pas de bascule ms/% à maintenir.</t>
        </is>
      </c>
      <c r="D23" s="20" t="inlineStr">
        <is>
          <t>Un « dans la zone » qui ne veut pas dire la même chose d'un tempo à l'autre, donc inutilisable pour se comparer d'une séance à la suivante.</t>
        </is>
      </c>
    </row>
    <row r="24" ht="45.75" customHeight="1">
      <c r="A24" s="22" t="inlineStr">
        <is>
          <t>Moyenne glissante seule comme lecture instantanée</t>
        </is>
      </c>
      <c r="B24" s="22" t="inlineStr">
        <is>
          <t>Première version du vu-mètre alimentée par la seule moyenne des 16 dernières notes. À l'essai, il restait au vert quoi qu'on joue : les écarts en avance annulent ceux en retard. Vérifié sur un enregistrement réel — des notes à ±51 ms, 6 sur 16 hors zone, et une moyenne qui ne sortait jamais de ±11 ms.</t>
        </is>
      </c>
      <c r="C24" s="20" t="inlineStr">
        <is>
          <t>La moyenne mesure le biais, pas la précision. Le vu-mètre couvre désormais la fourchette moyenne ± dispersion, chaque côté s'allumant indépendamment, et le verdict gagne un état « irrégulier » pour le jeu dispersé mais centré.</t>
        </is>
      </c>
      <c r="D24" s="20" t="inlineStr">
        <is>
          <t>Un indicateur qui félicite un jeu approximatif — le contraire exact de ce que l'application sert à faire.</t>
        </is>
      </c>
    </row>
    <row r="25" ht="45.75" customHeight="1">
      <c r="A25" s="22" t="inlineStr">
        <is>
          <t>Vu-mètre à neuf barres graduées</t>
        </is>
      </c>
      <c r="B25" s="22" t="inlineStr">
        <is>
          <t>Première forme retenue pour la lecture instantanée : neuf barres, chacune large de deux fois la tolérance. La largeur d'une tranche dépendait donc d'un réglage utilisateur. À l'essai, avec une tolérance généreuse (croches à 84 bpm, ~15 %), une barre valait 107 ms : toute une performance à ±103 ms tenait dans une seule barre de chaque côté, et six barres sur neuf restaient éteintes en permanence.</t>
        </is>
      </c>
      <c r="C25" s="20" t="inlineStr">
        <is>
          <t>Réduit à trois voyants — triangle, barre, triangle. La direction et l'état irrégulier subsistent ; l'ampleur du décalage est portée par la valeur chiffrée et la ligne de statistiques, qui l'expriment mieux qu'un nombre de barres.</t>
        </is>
      </c>
      <c r="D25" s="20" t="inlineStr">
        <is>
          <t>Une résolution affichée que la mesure ne remplit jamais : l'utilisateur croit l'indicateur figé alors qu'il fonctionne.</t>
        </is>
      </c>
    </row>
    <row r="26" ht="45.75" customHeight="1">
      <c r="A26" s="22" t="inlineStr">
        <is>
          <t>Lissage de l'horloge et réponse à un changement de tempo</t>
        </is>
      </c>
      <c r="B26" s="22" t="inlineStr">
        <is>
          <t>Le lissage de la période (moyenne exponentielle à 0,2 par temps) absorbe bien la gigue, mais met une dizaine de temps à rejoindre un tempo changé sur le clavier. Pire : la correction de phase étant bornée à 20 ms par temps, elle ne rattrape pas une période fausse de 100 ms — en simulation, le clic s'écarte jusqu'à 220 ms du vrai temps et met 21 temps à revenir. Affaiblir le lissage paie de la gigue en permanence pour un gain ponctuel, et avait été essayé puis annulé plus tôt : l'échec d'alors venait en réalité de l'amplification par stepIndex, pas du lissage.</t>
        </is>
      </c>
      <c r="C26" s="20" t="inlineStr">
        <is>
          <t>Lissage conservé tel quel, doublé d'une détection de changement franc : au-delà de 8 % d'écart avec l'estimation courante, l'intervalle est adopté sans lissage. Le seuil passe largement au-dessus de la gigue (de l'ordre du pour cent) et de la perte d'une impulsion d'horloge (4,2 %). Réponse en un temps, sans gigue ajoutée.</t>
        </is>
      </c>
      <c r="D26" s="20" t="inlineStr">
        <is>
          <t>Un métronome qui reste faux une dizaine de secondes après chaque changement de tempo, et qu'on croit déréglé alors qu'il converge.</t>
        </is>
      </c>
    </row>
    <row r="27" ht="45.75" customHeight="1">
      <c r="A27" s="22" t="inlineStr">
        <is>
          <t>Protocole d'alignement impossible à appliquer</t>
        </is>
      </c>
      <c r="B27" s="22" t="inlineStr">
        <is>
          <t>Les réglages décrivaient la correction manuelle comme s'ajoutant à l'avance du clic, et recommandaient de l'ajuster jusqu'à confondre à l'oreille le clic de l'application et celui de la boîte à rythmes. Or la correction n'entre que dans le calcul de l'écart des notes reçues : tourner le curseur ne déplace pas le clic d'un millième. Personne ne pouvait converger par cette méthode.</t>
        </is>
      </c>
      <c r="C27" s="20" t="inlineStr">
        <is>
          <t>Documentation corrigée, code inchangé : appliquer la correction à l'entrée est juste, c'est bien un retard d'entrée qu'elle compense, et déplacer le clic désynchroniserait l'application de la boîte à rythmes. Le protocole retenu est celui d'un fichier MIDI quantifié joué par le séquenceur, dont les notes doivent se poser sur la ligne centrale.</t>
        </is>
      </c>
      <c r="D27" s="20" t="inlineStr">
        <is>
          <t>Un réglage que l'utilisateur croit avoir vérifié alors qu'il n'a rien pu vérifier, et un zéro d'appareil réglé au hasard ou au ressenti — exactement ce qu'EX-038 cherche à éviter.</t>
        </is>
      </c>
    </row>
    <row r="28" ht="45.75" customHeight="1">
      <c r="A28" s="22" t="inlineStr">
        <is>
          <t>Repli sur une source de secours, définitif</t>
        </is>
      </c>
      <c r="B28" s="22" t="inlineStr">
        <is>
          <t>Au lancement, le clavier n'est pas toujours énuméré à temps : l'application se rabat alors sur la première source venue. Le balayage suivant ne comparait la sélection qu'à elle-même — or ce repli existe toujours — si bien qu'aucun retour au clavier mémorisé n'était possible. Constaté avec une session MIDI réseau restée active côté système, que l'application resélectionnait à chaque lancement en ignorant le clavier branché.</t>
        </is>
      </c>
      <c r="C28" s="20" t="inlineStr">
        <is>
          <t>La source mémorisée est distinguée de la source connectée, et privilégiée à chaque balayage. Le repli redevient ce qu'il doit être : temporaire.</t>
        </is>
      </c>
      <c r="D28" s="20" t="inlineStr">
        <is>
          <t>EX-013 tenue au premier lancement seulement, et un clavier à resélectionner à la main à chaque séance sans qu'on comprenne pourquoi.</t>
        </is>
      </c>
    </row>
    <row r="29" ht="45.75" customHeight="1">
      <c r="A29" s="22" t="inlineStr">
        <is>
          <t>Numérotation App Store alignée sur le cahier des charges</t>
        </is>
      </c>
      <c r="B29" s="22" t="inlineStr">
        <is>
          <t>Le premier binaire soumis, 1.0 (2), a été archivé le 28/07/2026 : son numéro de build n'apparaît nulle part dans l'historique, qui passe de 1 à 3 le même jour. Il correspond donc à l'état v2.1 — antérieur à la correction de la dérive de synchro (v2.2), à la justesse rapportée à la subdivision (v2.3) et aux voyants de lecture instantanée (v2.4).</t>
        </is>
      </c>
      <c r="C29" s="20" t="inlineStr">
        <is>
          <t>La publication suivante portera le numéro 2.4, aligné sur celui du cahier des charges plutôt que sur une suite 1.1. App Store Connect n'exige qu'une version strictement supérieure à la précédente, comparée composant par composant : 1.0 → 2.4 passe, et les numéros sautés ne déclenchent aucun contrôle. L'alignement permet à un utilisateur qui signale « je suis en 2.4 » de pointer directement une ligne du journal. Le numéro de build, lui, ne se remet jamais à 1 : il continue en 7.</t>
        </is>
      </c>
      <c r="D29" s="20" t="inlineStr">
        <is>
          <t>Une version publiée qu'on ne sait plus rattacher à un état du cahier des charges, et un envoi refusé si le couple version + build repasse sur une valeur déjà reçue.</t>
        </is>
      </c>
    </row>
    <row r="30" ht="45.75" customHeight="1">
      <c r="A30" s="22" t="inlineStr">
        <is>
          <t>Captures d'écran impossibles depuis le simulateur</t>
        </is>
      </c>
      <c r="B30" s="22" t="inlineStr">
        <is>
          <t>Le simulateur iOS ne partage pas le CoreMIDI du Mac : une source MIDI virtuelle créée sur l'hôte reste invisible de l'application, même après relance pour forcer un nouveau balayage — « Clavier : aucun détecté ». Sans clavier, le graphe reste vide et les statistiques à zéro.</t>
        </is>
      </c>
      <c r="C30" s="20" t="inlineStr">
        <is>
          <t>Les captures de la fiche App Store se prennent sur l'iPhone, clavier branché, en séance réelle. Le simulateur ne sert qu'à vérifier la mise en page. Les dimensions sont conformées ensuite par resize-screenshots.sh, catégorie 6,5 pouces (1284×2778).</t>
        </is>
      </c>
      <c r="D30" s="20" t="inlineStr">
        <is>
          <t>Du temps passé à outiller une injection MIDI qui ne peut pas aboutir, ou une fiche App Store illustrée par une application qui paraît ne rien faire.</t>
        </is>
      </c>
    </row>
    <row r="31" ht="45.75" customHeight="1">
      <c r="A31" s="22" t="inlineStr">
        <is>
          <t>Durée de la note de retour au clavier</t>
        </is>
      </c>
      <c r="B31" s="22" t="inlineStr">
        <is>
          <t>Trois tentatives. Une durée fixe de 150 ms, arbitraire : confortable sur des noires lentes, elle déborde en doubles-croches. Puis l'alignement sur la note réellement tenue, écarté d'emblée — le retour doit partir à l'attaque, or on ignore à cet instant combien de temps la touche restera enfoncée. Puis les deux tiers de la subdivision, qui règlent le cas du tempo mais pas celui de la musique : dans un vrai morceau les durées ne suivent pas la grille, et dès la double-croche la note de retour cesse d'être une confirmation pour devenir une pollution.</t>
        </is>
      </c>
      <c r="C31" s="20" t="inlineStr">
        <is>
          <t>La durée n'est plus calculée du tout. Note On à l'appui, Note Off au lever de la touche qui l'a déclenché : le retour dure exactement ce que dure le geste, quel que soit le tempo, la subdivision ou l'écriture. L'objection initiale — « on ne connaît pas la durée à l'attaque » — tombe dès qu'on cesse de vouloir la connaître : il suffit de relayer le relâchement quand il arrive. La correspondance touche jouée → note renvoyée est mémorisée, et non recalculée, pour survivre à un changement de mode en cours de note ; les notes envoyées sont décomptées, pour qu'un lever n'éteigne pas le retour d'une autre touche qui porte le même numéro.</t>
        </is>
      </c>
      <c r="D31" s="20" t="inlineStr">
        <is>
          <t>Soit un retour qui traîne sur les valeurs brèves, soit une note fantôme accrochée indéfiniment si l'on relaie le lever sans filet.</t>
        </is>
      </c>
    </row>
    <row r="32" ht="45.75" customHeight="1">
      <c r="A32" s="22" t="inlineStr">
        <is>
          <t>Récompense jouée sur le haut-parleur du téléphone</t>
        </is>
      </c>
      <c r="B32" s="22" t="inlineStr">
        <is>
          <t>Construite puis retirée. L'idée était de faire sortir le retour du même moteur audio que le clic — un ping bref, de hauteur fixe — pour qu'il se confonde à l'oreille avec lui et affranchisse du Local Control. Techniquement, ça marchait. À l'essai, c'est inutilisable dès les croches : un ping surgissant à chaque frappe juste couvre le clic au lieu de s'y fondre, on perd le fil du métronome, et l'application donne l'impression de dysfonctionner alors qu'elle fait exactement ce qu'on lui demande.</t>
        </is>
      </c>
      <c r="C32" s="20" t="inlineStr">
        <is>
          <t>Écartée définitivement. Un son de plus, non musical et intermittent, n'a pas sa place dans le flux de ce qu'on écoute en jouant. À sa place, une fonction distincte qui ne relève pas de la récompense : le téléphone sonorise *toutes* les notes, avec un timbre musical choisi (EX-133). Continu et attendu, donc il s'intègre au jeu au lieu de le hacher — et il atteint l'objectif visé, mes notes et le clic par le même haut-parleur.</t>
        </is>
      </c>
      <c r="D32" s="20" t="inlineStr">
        <is>
          <t>Une troisième fonction construite, testée et abandonnée — après le retour haptique et le portrait inversé — faute d'avoir distingué « le son sort du bon endroit » de « le son a sa place dans ce qu'on écoute ».</t>
        </is>
      </c>
    </row>
    <row r="33" ht="45.75" customHeight="1">
      <c r="A33" s="22" t="inlineStr">
        <is>
          <t>Sonorisation par le téléphone : d'où viennent les sons</t>
        </is>
      </c>
      <c r="B33" s="22" t="inlineStr">
        <is>
          <t>Cinq timbres à couvrir sur toute l'étendue du clavier. Première tentative : la banque General MIDI du système, via un AVAudioUnitSampler chargé depuis `/System/Library/Components/CoreAudio.component/Contents/Resources/gs_instruments.dls`. Vérifiée au simulateur, où elle se charge et rend. **Ce test ne valait rien** : une application du simulateur s'exécute sur macOS et lit le disque du Mac. Ce fichier est celui de macOS ; iOS ne livre ni lui ni aucune autre banque `.dls` ou `.sf2`. Sur l'iPhone le chargement lève, le module se désactive tout seul, et l'interrupteur paraît simplement refuser de s'activer.</t>
        </is>
      </c>
      <c r="C33" s="20" t="inlineStr">
        <is>
          <t>Synthèse additive dans l'application, huit partiels par voix, un modèle unique pour les cinq timbres — rapports de fréquence, amplitudes et temps de décroissance distincts suffisent à les séparer. Rien à embarquer, aucune licence à vérifier. Écartées : embarquer une SoundFont, qui coûte plusieurs mégaoctets et une licence ; et le sampler nu, qui n'offre qu'un timbre. Retenu aussi : **tout chemin de fichier système se vérifie sur l'appareil, jamais au simulateur**, qui ne partage pas le système de fichiers d'iOS.</t>
        </is>
      </c>
      <c r="D33" s="20" t="inlineStr">
        <is>
          <t>Une fonction qui marche à tous les essais du développeur et qui ne marche sur aucun téléphone — le pire des symptômes, puisque rien dans l'environnement de test ne le révèle.</t>
        </is>
      </c>
    </row>
    <row r="34" ht="45.75" customHeight="1">
      <c r="A34" s="22" t="inlineStr">
        <is>
          <t>Nommer par ce qui se passe, pas par le bénéfice espéré</t>
        </is>
      </c>
      <c r="B34" s="22" t="inlineStr">
        <is>
          <t>Trois libellés de cette section décrivaient un effet supposé plutôt qu'un fait. « Note muette si imprécise » était faux dans la configuration d'usine : Local Control activé, rien n'est muet, et ce sont au contraire les frappes justes qui s'entendent renforcées — l'inverse de ce que le nom annonce. « Récompense sonore » nommait un bénéfice psychologique, pas l'envoi d'un message MIDI. Dans les deux cas c'est la justification interne de la fonction qui avait fui dans l'interface.</t>
        </is>
      </c>
      <c r="C34" s="20" t="inlineStr">
        <is>
          <t>Les libellés disent ce que l'application émet et à quelle condition, jamais ce qu'on entendra — cela dépend du Local Control, réglé sur l'instrument et hors de notre portée. L'intention, elle, descend dans le pied de page, seul endroit où elle a sa place (EX-097), et s'arrête à ce qui se constate : le retour tombe dans le temps du jeu. Qu'il fasse progresser plus vite est plausible, n'est pas mesuré, et n'est donc pas affirmé. Règle générale pour les prochains réglages, pas correctif ponctuel.</t>
        </is>
      </c>
      <c r="D34" s="20" t="inlineStr">
        <is>
          <t>Une interface qui promet ce qu'elle ne contrôle pas, et un utilisateur qui croit avoir activé une fonction qui ne fait pas ce qu'elle dit — sans jamais pouvoir s'en rendre compte, puisque rien ne le contredit.</t>
        </is>
      </c>
    </row>
    <row r="35" ht="45.75" customHeight="1">
      <c r="A35" s="22" t="inlineStr">
        <is>
          <t>Saturation du bus de l'instrument</t>
        </is>
      </c>
      <c r="B35" s="22" t="inlineStr">
        <is>
          <t>Une note isolée culmine vers 0,5, mais dix notes tenues à la pédale montent à 2,3 quand leurs attaques coïncident. La cubique classique `x - x³/3`, employée seule pour comprimer, n'est monotone que sur [-1, 1] : au-delà elle se retourne et replie l'onde, puis diverge — à 3 en entrée elle rend -6. Elle transformait donc précisément les passages les plus fournis en distorsion franche.</t>
        </is>
      </c>
      <c r="C35" s="20" t="inlineStr">
        <is>
          <t>Rabattement dans [-1, 1] avant la cubique : ce n'est pas une précaution mais la condition de validité de la formule. Sortie bornée à ±0,5, ce qui laisse la place au clic dans le mélange. Vérifié hors application, sur le seul DSP : monotonie sur ±6, note seule à 0,21, accord de dix à 0,50.</t>
        </is>
      </c>
      <c r="D35" s="20" t="inlineStr">
        <is>
          <t>Une saturation qui s'aggrave au lieu de protéger, et qui ne se manifeste que sur les accords fournis — donc jamais pendant un essai à une note.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2026-07-27T08:42:40Z</dcterms:created>
  <dcterms:modified xsi:type="dcterms:W3CDTF">2026-07-30T10:33:16Z</dcterms:modified>
  <cp:lastModifiedBy>OUNDJIAN, Raphael</cp:lastModifiedBy>
  <cp:revision>0</cp:revision>
</cp:coreProperties>
</file>

<file path=docProps/custom.xml><?xml version="1.0" encoding="utf-8"?>
<Properties xmlns:vt="http://schemas.openxmlformats.org/officeDocument/2006/docPropsVTypes" xmlns="http://schemas.openxmlformats.org/officeDocument/2006/custom-properties">
  <property name="MSIP_Label_afcb221a-6e97-4d92-b656-ecf531a71c86_ActionId" fmtid="{D5CDD505-2E9C-101B-9397-08002B2CF9AE}" pid="2">
    <vt:lpwstr>94ffce68-90cc-4ac0-9faf-1b21edb262b4</vt:lpwstr>
  </property>
  <property name="MSIP_Label_afcb221a-6e97-4d92-b656-ecf531a71c86_ContentBits" fmtid="{D5CDD505-2E9C-101B-9397-08002B2CF9AE}" pid="3">
    <vt:lpwstr>0</vt:lpwstr>
  </property>
  <property name="MSIP_Label_afcb221a-6e97-4d92-b656-ecf531a71c86_Enabled" fmtid="{D5CDD505-2E9C-101B-9397-08002B2CF9AE}" pid="4">
    <vt:lpwstr>true</vt:lpwstr>
  </property>
  <property name="MSIP_Label_afcb221a-6e97-4d92-b656-ecf531a71c86_Method" fmtid="{D5CDD505-2E9C-101B-9397-08002B2CF9AE}" pid="5">
    <vt:lpwstr>Standard</vt:lpwstr>
  </property>
  <property name="MSIP_Label_afcb221a-6e97-4d92-b656-ecf531a71c86_Name" fmtid="{D5CDD505-2E9C-101B-9397-08002B2CF9AE}" pid="6">
    <vt:lpwstr>General</vt:lpwstr>
  </property>
  <property name="MSIP_Label_afcb221a-6e97-4d92-b656-ecf531a71c86_SetDate" fmtid="{D5CDD505-2E9C-101B-9397-08002B2CF9AE}" pid="7">
    <vt:lpwstr>2026-07-27T09:45:08Z</vt:lpwstr>
  </property>
  <property name="MSIP_Label_afcb221a-6e97-4d92-b656-ecf531a71c86_SiteId" fmtid="{D5CDD505-2E9C-101B-9397-08002B2CF9AE}" pid="8">
    <vt:lpwstr>6f2633ea-c60d-4a07-be1c-b5cd19f27133</vt:lpwstr>
  </property>
  <property name="MSIP_Label_afcb221a-6e97-4d92-b656-ecf531a71c86_Tag" fmtid="{D5CDD505-2E9C-101B-9397-08002B2CF9AE}" pid="9">
    <vt:lpwstr>50, 3, 0, 1</vt:lpwstr>
  </property>
</Properties>
</file>