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v2.5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3" ht="82" customHeight="1">
      <c r="A43"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4" ht="82" customHeight="1">
      <c r="A44"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5" ht="68" customHeight="1">
      <c r="A45"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6" ht="51.75" customHeight="1">
      <c r="A46"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7" ht="30" customHeight="1">
      <c r="A47"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8">
      <c r="A48" s="4" t="inlineStr">
        <is>
          <t>v1.0 à v1.3 — Versions antérieures, interface à identité graphique propre. Conservées pour mémoire, plus maintenues.</t>
        </is>
      </c>
    </row>
    <row r="50">
      <c r="A50" s="3" t="inlineStr">
        <is>
          <t>Synthèse (calculée depuis l'onglet Exigences)</t>
        </is>
      </c>
    </row>
    <row r="51">
      <c r="A51" s="5" t="inlineStr">
        <is>
          <t>Phase 1 — Indispensable</t>
        </is>
      </c>
      <c r="B51" s="6">
        <f>COUNTIFS(Exigences!$E$3:$E$200,"Indispensable",Exigences!$G$3:$G$200,"1")</f>
        <v/>
      </c>
    </row>
    <row r="52">
      <c r="A52" s="5" t="inlineStr">
        <is>
          <t>Phase 1 — Important</t>
        </is>
      </c>
      <c r="B52" s="6">
        <f>COUNTIFS(Exigences!$E$3:$E$200,"Important",Exigences!$G$3:$G$200,"1")</f>
        <v/>
      </c>
    </row>
    <row r="53">
      <c r="A53" s="5" t="inlineStr">
        <is>
          <t>Phase 1 — Souhaitable</t>
        </is>
      </c>
      <c r="B53" s="6">
        <f>COUNTIFS(Exigences!$E$3:$E$200,"Souhaitable",Exigences!$G$3:$G$200,"1")</f>
        <v/>
      </c>
    </row>
    <row r="54">
      <c r="A54" s="5" t="inlineStr">
        <is>
          <t>Phase 1 — total</t>
        </is>
      </c>
      <c r="B54" s="6">
        <f>COUNTIF(Exigences!$G$3:$G$200,"1")</f>
        <v/>
      </c>
    </row>
    <row r="55">
      <c r="A55" s="5" t="inlineStr">
        <is>
          <t>Phase 2 — reporté</t>
        </is>
      </c>
      <c r="B55" s="6">
        <f>COUNTIF(Exigences!$G$3:$G$200,"2")</f>
        <v/>
      </c>
    </row>
    <row r="56">
      <c r="A56" s="5" t="inlineStr">
        <is>
          <t>Total décrit</t>
        </is>
      </c>
      <c r="B56"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4"/>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 Non réalisé : l'étalement est calculé et conservé sur chaque événement, mais plus affiché depuis que la ligne d'accord a été retirée de la lecture instantanée.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0" t="inlineStr">
        <is>
          <t>EX-044</t>
        </is>
      </c>
      <c r="B44" s="11" t="inlineStr">
        <is>
          <t>Métronome</t>
        </is>
      </c>
      <c r="C44" s="11" t="inlineStr">
        <is>
          <t>Les subdivisions peuvent être cliquées ou rester silencieuses.</t>
        </is>
      </c>
      <c r="D44" s="11" t="inlineStr">
        <is>
          <t>Interrupteur séparé.</t>
        </is>
      </c>
      <c r="E44" s="19" t="inlineStr">
        <is>
          <t>Souhaitable</t>
        </is>
      </c>
      <c r="F44" s="11" t="inlineStr">
        <is>
          <t>désactivé</t>
        </is>
      </c>
      <c r="G44" s="18" t="n">
        <v>3</v>
      </c>
      <c r="H44" s="14" t="n"/>
    </row>
    <row r="45" ht="27.75" customHeight="1">
      <c r="A45" s="15" t="inlineStr">
        <is>
          <t>EX-049</t>
        </is>
      </c>
      <c r="B45" s="16" t="inlineStr">
        <is>
          <t>Métronome</t>
        </is>
      </c>
      <c r="C45" s="16" t="inlineStr">
        <is>
          <t>Un décompte avant que la mesure ne commence.</t>
        </is>
      </c>
      <c r="D45" s="16" t="inlineStr">
        <is>
          <t>Une mesure à vide, notes non comptabilisées.</t>
        </is>
      </c>
      <c r="E45" s="19" t="inlineStr">
        <is>
          <t>Souhaitable</t>
        </is>
      </c>
      <c r="F45" s="16" t="inlineStr">
        <is>
          <t>1 mesure</t>
        </is>
      </c>
      <c r="G45" s="18" t="n">
        <v>3</v>
      </c>
      <c r="H45" s="14" t="n"/>
    </row>
    <row r="46" ht="27.75" customHeight="1">
      <c r="A46" s="10" t="inlineStr">
        <is>
          <t>EX-050</t>
        </is>
      </c>
      <c r="B46" s="11" t="inlineStr">
        <is>
          <t>Métronome</t>
        </is>
      </c>
      <c r="C46" s="11" t="inlineStr">
        <is>
          <t>Une notification ou un appel ne doit pas casser la séance silencieusement.</t>
        </is>
      </c>
      <c r="D46" s="11" t="inlineStr">
        <is>
          <t>Interruptions audio gérées ; reprise ou arrêt signalé.</t>
        </is>
      </c>
      <c r="E46" s="17" t="inlineStr">
        <is>
          <t>Important</t>
        </is>
      </c>
      <c r="F46" s="11" t="inlineStr">
        <is>
          <t>—</t>
        </is>
      </c>
      <c r="G46" s="18" t="inlineStr">
        <is>
          <t>2</t>
        </is>
      </c>
      <c r="H46" s="14" t="n"/>
    </row>
    <row r="47" ht="27.75" customHeight="1">
      <c r="A47" s="23" t="inlineStr">
        <is>
          <t>EX-051</t>
        </is>
      </c>
      <c r="B47" s="24" t="inlineStr">
        <is>
          <t>Métronome</t>
        </is>
      </c>
      <c r="C47" s="24" t="inlineStr">
        <is>
          <t>Je veux choisir le son du clic parmi plusieurs timbres.</t>
        </is>
      </c>
      <c r="D47" s="24" t="inlineStr">
        <is>
          <t>Cinq timbres inspirés du kit de percussions General MIDI, avec écoute au changement.</t>
        </is>
      </c>
      <c r="E47" s="25" t="inlineStr">
        <is>
          <t>Souhaitable</t>
        </is>
      </c>
      <c r="F47" s="24" t="inlineStr">
        <is>
          <t>Claves</t>
        </is>
      </c>
      <c r="G47" s="26" t="inlineStr">
        <is>
          <t>2</t>
        </is>
      </c>
      <c r="H47" s="27" t="n"/>
    </row>
    <row r="48" ht="27.75" customHeight="1">
      <c r="A48" s="33" t="inlineStr">
        <is>
          <t>EX-053</t>
        </is>
      </c>
      <c r="B48" s="33" t="inlineStr">
        <is>
          <t>Métronome</t>
        </is>
      </c>
      <c r="C48" s="33" t="inlineStr">
        <is>
          <t>Je veux que le métronome démarre sur le Start de la boîte à rythmes de mon clavier.</t>
        </is>
      </c>
      <c r="D48"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8" s="34" t="inlineStr">
        <is>
          <t>Important</t>
        </is>
      </c>
      <c r="F48" s="33" t="inlineStr">
        <is>
          <t>désactivé</t>
        </is>
      </c>
      <c r="G48" s="38" t="inlineStr">
        <is>
          <t>3</t>
        </is>
      </c>
      <c r="H48" s="35" t="inlineStr">
        <is>
          <t>sert surtout à régler l'alignement à l'oreille contre une référence matérielle</t>
        </is>
      </c>
    </row>
    <row r="49" ht="57" customHeight="1">
      <c r="A49" s="33" t="inlineStr">
        <is>
          <t>EX-054</t>
        </is>
      </c>
      <c r="B49" s="33" t="inlineStr">
        <is>
          <t>Métronome</t>
        </is>
      </c>
      <c r="C49" s="33" t="inlineStr">
        <is>
          <t>Quand je suis synchronisé, je veux que le tempo suive celui du clavier et ne dérive pas.</t>
        </is>
      </c>
      <c r="D49"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9" s="36" t="inlineStr">
        <is>
          <t>Souhaitable</t>
        </is>
      </c>
      <c r="F49" s="33" t="inlineStr">
        <is>
          <t>suit EX-053</t>
        </is>
      </c>
      <c r="G49" s="38" t="inlineStr">
        <is>
          <t>3</t>
        </is>
      </c>
      <c r="H49" s="35" t="inlineStr">
        <is>
          <t>sans lui, Start donne le départ mais pas le tempo : la dérive est inévitable — fusionné avec EX-053 le 27/07/2026, l'usage a confirmé qu'ils ne se séparent jamais ; tempo reçu rendu persistant le 29/07/2026</t>
        </is>
      </c>
    </row>
    <row r="50" ht="57" customHeight="1">
      <c r="A50" s="28" t="inlineStr">
        <is>
          <t>EX-060</t>
        </is>
      </c>
      <c r="B50" s="29" t="inlineStr">
        <is>
          <t>Visualisation</t>
        </is>
      </c>
      <c r="C50" s="29" t="inlineStr">
        <is>
          <t>Une ligne verticale centrale représente le battement, en permanence.</t>
        </is>
      </c>
      <c r="D50" s="29" t="inlineStr">
        <is>
          <t>Ligne continue traversant toute la zone de mesure.</t>
        </is>
      </c>
      <c r="E50" s="30" t="inlineStr">
        <is>
          <t>Indispensable</t>
        </is>
      </c>
      <c r="F50" s="29" t="inlineStr">
        <is>
          <t>—</t>
        </is>
      </c>
      <c r="G50" s="31" t="inlineStr">
        <is>
          <t>1</t>
        </is>
      </c>
      <c r="H50" s="32" t="n"/>
    </row>
    <row r="51" ht="27.75" customHeight="1">
      <c r="A51" s="15" t="inlineStr">
        <is>
          <t>EX-061</t>
        </is>
      </c>
      <c r="B51" s="16" t="inlineStr">
        <is>
          <t>Visualisation</t>
        </is>
      </c>
      <c r="C51" s="16" t="inlineStr">
        <is>
          <t>Le temps défile verticalement : les notes apparaissent en haut et descendent.</t>
        </is>
      </c>
      <c r="D51" s="16" t="inlineStr">
        <is>
          <t>Vitesse constante, environ 6 secondes d'historique visible.</t>
        </is>
      </c>
      <c r="E51" s="12" t="inlineStr">
        <is>
          <t>Indispensable</t>
        </is>
      </c>
      <c r="F51" s="16" t="inlineStr">
        <is>
          <t>6 s</t>
        </is>
      </c>
      <c r="G51" s="13" t="inlineStr">
        <is>
          <t>1</t>
        </is>
      </c>
      <c r="H51" s="14" t="n"/>
    </row>
    <row r="52" ht="27.75" customHeight="1">
      <c r="A52" s="10" t="inlineStr">
        <is>
          <t>EX-062</t>
        </is>
      </c>
      <c r="B52" s="11" t="inlineStr">
        <is>
          <t>Visualisation</t>
        </is>
      </c>
      <c r="C52" s="11" t="inlineStr">
        <is>
          <t>Chaque note est placée horizontalement en proportion de son écart.</t>
        </is>
      </c>
      <c r="D52" s="11" t="inlineStr">
        <is>
          <t>Position proportionnelle, saturée aux bords plutôt que masquée.</t>
        </is>
      </c>
      <c r="E52" s="12" t="inlineStr">
        <is>
          <t>Indispensable</t>
        </is>
      </c>
      <c r="F52" s="11" t="inlineStr">
        <is>
          <t>—</t>
        </is>
      </c>
      <c r="G52" s="13" t="inlineStr">
        <is>
          <t>1</t>
        </is>
      </c>
      <c r="H52" s="14" t="n"/>
    </row>
    <row r="53" ht="27.75" customHeight="1">
      <c r="A53" s="15" t="inlineStr">
        <is>
          <t>EX-063</t>
        </is>
      </c>
      <c r="B53" s="16" t="inlineStr">
        <is>
          <t>Visualisation</t>
        </is>
      </c>
      <c r="C53" s="16" t="inlineStr">
        <is>
          <t>Une bande matérialise la zone que je considère comme « dans le temps », et sa largeur tient compte de la finesse de la grille.</t>
        </is>
      </c>
      <c r="D53"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3" s="12" t="inlineStr">
        <is>
          <t>Indispensable</t>
        </is>
      </c>
      <c r="F53" s="16" t="inlineStr">
        <is>
          <t>5 % ou 20 ms</t>
        </is>
      </c>
      <c r="G53" s="13" t="inlineStr">
        <is>
          <t>1</t>
        </is>
      </c>
      <c r="H53" s="14" t="inlineStr">
        <is>
          <t>passée d'une largeur absolue en ms à un pourcentage de la subdivision : ±50 ms valent 5 % d'une noire à 60 bpm mais 43 % d'une double-croche à 128 bpm</t>
        </is>
      </c>
    </row>
    <row r="54" ht="27.75" customHeight="1">
      <c r="A54" s="10" t="inlineStr">
        <is>
          <t>EX-066</t>
        </is>
      </c>
      <c r="B54" s="11" t="inlineStr">
        <is>
          <t>Visualisation</t>
        </is>
      </c>
      <c r="C54" s="11" t="inlineStr">
        <is>
          <t>Une lecture instantanée me dit où j'en suis sans que j'aie à quitter le clavier des yeux.</t>
        </is>
      </c>
      <c r="D54"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 Trois voyants et un verdict en clair, rien d'autre : la valeur chiffrée qui les accompagnait a été retirée. Ce qu'on regarde en jouant doit se lire sans être lu.</t>
        </is>
      </c>
      <c r="E54" s="12" t="inlineStr">
        <is>
          <t>Indispensable</t>
        </is>
      </c>
      <c r="F54" s="11" t="inlineStr">
        <is>
          <t>—</t>
        </is>
      </c>
      <c r="G54" s="13" t="inlineStr">
        <is>
          <t>1</t>
        </is>
      </c>
      <c r="H54" s="14" t="inlineStr">
        <is>
          <t>l'écart de la dernière note sautait d'une frappe à l'autre : impossible de s'en servir pour se corriger en jouant — remplacé le 29/07/2026, d'abord par neuf barres graduées, réduites à trois voyants après essai (voir Risques et décisions)</t>
        </is>
      </c>
    </row>
    <row r="55" ht="27.75" customHeight="1">
      <c r="A55" s="15" t="inlineStr">
        <is>
          <t>EX-068</t>
        </is>
      </c>
      <c r="B55" s="16" t="inlineStr">
        <is>
          <t>Visualisation</t>
        </is>
      </c>
      <c r="C55" s="16" t="inlineStr">
        <is>
          <t>Les temps du métronome défilent aussi, pour situer chaque note.</t>
        </is>
      </c>
      <c r="D55" s="16" t="inlineStr">
        <is>
          <t>Repère horizontal à chaque temps.</t>
        </is>
      </c>
      <c r="E55" s="17" t="inlineStr">
        <is>
          <t>Important</t>
        </is>
      </c>
      <c r="F55" s="16" t="inlineStr">
        <is>
          <t>—</t>
        </is>
      </c>
      <c r="G55" s="13" t="inlineStr">
        <is>
          <t>1</t>
        </is>
      </c>
      <c r="H55" s="14" t="n"/>
    </row>
    <row r="56" ht="34.5" customHeight="1">
      <c r="A56" s="10" t="inlineStr">
        <is>
          <t>EX-069</t>
        </is>
      </c>
      <c r="B56" s="11" t="inlineStr">
        <is>
          <t>Visualisation</t>
        </is>
      </c>
      <c r="C56" s="11" t="inlineStr">
        <is>
          <t>Le défilement doit être parfaitement fluide, sinon je ne peux pas m'y fier.</t>
        </is>
      </c>
      <c r="D56" s="11" t="inlineStr">
        <is>
          <t>Suit le rafraîchissement de l'écran, sans saccade sur une séance de 45 minutes.</t>
        </is>
      </c>
      <c r="E56" s="12" t="inlineStr">
        <is>
          <t>Indispensable</t>
        </is>
      </c>
      <c r="F56" s="11" t="inlineStr">
        <is>
          <t>60 / 120 fps</t>
        </is>
      </c>
      <c r="G56" s="13" t="inlineStr">
        <is>
          <t>1</t>
        </is>
      </c>
      <c r="H56" s="14" t="n"/>
    </row>
    <row r="57" ht="27.75" customHeight="1">
      <c r="A57" s="15" t="inlineStr">
        <is>
          <t>EX-072</t>
        </is>
      </c>
      <c r="B57" s="16" t="inlineStr">
        <is>
          <t>Visualisation</t>
        </is>
      </c>
      <c r="C57" s="16" t="inlineStr">
        <is>
          <t>Je veux un mode où je ne vois que la mesure, sans réglages ni statistiques.</t>
        </is>
      </c>
      <c r="D57" s="16" t="inlineStr">
        <is>
          <t>Un appui sur la zone de mesure masque tout le reste, barre d'état comprise. Même vue de mesure dans les deux modes, jamais une seconde implémentation.</t>
        </is>
      </c>
      <c r="E57" s="12" t="inlineStr">
        <is>
          <t>Indispensable</t>
        </is>
      </c>
      <c r="F57" s="16" t="inlineStr">
        <is>
          <t>—</t>
        </is>
      </c>
      <c r="G57" s="13" t="inlineStr">
        <is>
          <t>1</t>
        </is>
      </c>
      <c r="H57" s="14" t="n"/>
    </row>
    <row r="58" ht="27.75" customHeight="1">
      <c r="A58" s="10" t="inlineStr">
        <is>
          <t>EX-065</t>
        </is>
      </c>
      <c r="B58" s="11" t="inlineStr">
        <is>
          <t>Visualisation</t>
        </is>
      </c>
      <c r="C58" s="11" t="inlineStr">
        <is>
          <t>La force de frappe est visible sur le graphe.</t>
        </is>
      </c>
      <c r="D58" s="11" t="inlineStr">
        <is>
          <t>Taille du repère proportionnelle à la vélocité.</t>
        </is>
      </c>
      <c r="E58" s="19" t="inlineStr">
        <is>
          <t>Souhaitable</t>
        </is>
      </c>
      <c r="F58" s="11" t="inlineStr">
        <is>
          <t>—</t>
        </is>
      </c>
      <c r="G58" s="18" t="n">
        <v>3</v>
      </c>
      <c r="H58" s="14" t="n"/>
    </row>
    <row r="59" ht="27.75" customHeight="1">
      <c r="A59" s="15" t="inlineStr">
        <is>
          <t>EX-067</t>
        </is>
      </c>
      <c r="B59" s="16" t="inlineStr">
        <is>
          <t>Visualisation</t>
        </is>
      </c>
      <c r="C59" s="16" t="inlineStr">
        <is>
          <t>Je règle l'échelle horizontale selon mon niveau du jour, sans qu'elle puisse mentir sur la plage réellement atteignable.</t>
        </is>
      </c>
      <c r="D59" s="16" t="inlineStr">
        <is>
          <t>Bornée à la demi-subdivision, plage qu'un écart ne peut par construction jamais dépasser (EX-032). Curseur de resserrement de 25 % à 100 % de cette plage.</t>
        </is>
      </c>
      <c r="E59" s="19" t="inlineStr">
        <is>
          <t>Souhaitable</t>
        </is>
      </c>
      <c r="F59" s="16" t="inlineStr">
        <is>
          <t>100 % (½ subdivision)</t>
        </is>
      </c>
      <c r="G59" s="18" t="inlineStr">
        <is>
          <t>1</t>
        </is>
      </c>
      <c r="H59" s="14" t="inlineStr">
        <is>
          <t>au-delà de la demi-subdivision le graphe montrait du vide, en deçà il écrasait les notes contre le bord</t>
        </is>
      </c>
    </row>
    <row r="60" ht="27.75" customHeight="1">
      <c r="A60" s="10" t="inlineStr">
        <is>
          <t>EX-071</t>
        </is>
      </c>
      <c r="B60" s="11" t="inlineStr">
        <is>
          <t>Visualisation</t>
        </is>
      </c>
      <c r="C60" s="11" t="inlineStr">
        <is>
          <t>Je veux voir ma tendance sur le graphe, pas seulement en chiffre.</t>
        </is>
      </c>
      <c r="D60" s="11" t="inlineStr">
        <is>
          <t>Repère à la position de la moyenne glissante.</t>
        </is>
      </c>
      <c r="E60" s="19" t="inlineStr">
        <is>
          <t>Souhaitable</t>
        </is>
      </c>
      <c r="F60" s="11" t="inlineStr">
        <is>
          <t>—</t>
        </is>
      </c>
      <c r="G60" s="18" t="n">
        <v>3</v>
      </c>
      <c r="H60" s="14" t="n"/>
    </row>
    <row r="61" ht="27.75" customHeight="1">
      <c r="A61" s="15" t="inlineStr">
        <is>
          <t>EX-080</t>
        </is>
      </c>
      <c r="B61" s="16" t="inlineStr">
        <is>
          <t>Statistiques</t>
        </is>
      </c>
      <c r="C61" s="16" t="inlineStr">
        <is>
          <t>Je veux savoir combien de notes ont été mesurées.</t>
        </is>
      </c>
      <c r="D61"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1" s="12" t="inlineStr">
        <is>
          <t>Indispensable</t>
        </is>
      </c>
      <c r="F61" s="16" t="inlineStr">
        <is>
          <t>—</t>
        </is>
      </c>
      <c r="G61" s="13" t="inlineStr">
        <is>
          <t>1</t>
        </is>
      </c>
      <c r="H61" s="14" t="inlineStr">
        <is>
          <t>le compteur affichait la taille de l'échantillon et restait donc bloqué à la fenêtre — corrigé le 30/07/2026</t>
        </is>
      </c>
    </row>
    <row r="62" ht="57" customHeight="1">
      <c r="A62" s="10" t="inlineStr">
        <is>
          <t>EX-081</t>
        </is>
      </c>
      <c r="B62" s="11" t="inlineStr">
        <is>
          <t>Statistiques</t>
        </is>
      </c>
      <c r="C62" s="11" t="inlineStr">
        <is>
          <t>Je veux connaître mon biais : est-ce que je traîne ou est-ce que je précipite ?</t>
        </is>
      </c>
      <c r="D62" s="11" t="inlineStr">
        <is>
          <t>Écart moyen signé, en millisecondes avec une décimale, unité affichée à côté de la valeur.</t>
        </is>
      </c>
      <c r="E62" s="12" t="inlineStr">
        <is>
          <t>Indispensable</t>
        </is>
      </c>
      <c r="F62" s="11" t="inlineStr">
        <is>
          <t>—</t>
        </is>
      </c>
      <c r="G62" s="13" t="inlineStr">
        <is>
          <t>1</t>
        </is>
      </c>
      <c r="H62" s="14" t="n"/>
    </row>
    <row r="63" ht="27.75" customHeight="1">
      <c r="A63" s="15" t="inlineStr">
        <is>
          <t>EX-082</t>
        </is>
      </c>
      <c r="B63" s="16" t="inlineStr">
        <is>
          <t>Statistiques</t>
        </is>
      </c>
      <c r="C63" s="16" t="inlineStr">
        <is>
          <t>Je veux connaître ma régularité, et savoir d'un coup d'œil si elle est acceptable.</t>
        </is>
      </c>
      <c r="D63"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3" s="12" t="inlineStr">
        <is>
          <t>Indispensable</t>
        </is>
      </c>
      <c r="F63" s="16" t="inlineStr">
        <is>
          <t>5 % ou 15 ms</t>
        </is>
      </c>
      <c r="G63" s="13" t="inlineStr">
        <is>
          <t>1</t>
        </is>
      </c>
      <c r="H63" s="14" t="inlineStr">
        <is>
          <t>libellé corrigé le 30/07/2026 : « Régularité » se lisait à l'envers d'un écart-type</t>
        </is>
      </c>
    </row>
    <row r="64" ht="27.75" customHeight="1">
      <c r="A64" s="10" t="inlineStr">
        <is>
          <t>EX-083</t>
        </is>
      </c>
      <c r="B64" s="11" t="inlineStr">
        <is>
          <t>Statistiques</t>
        </is>
      </c>
      <c r="C64" s="11" t="inlineStr">
        <is>
          <t>Je veux la proportion de notes tombées dans ma zone de tolérance.</t>
        </is>
      </c>
      <c r="D64" s="11" t="inlineStr">
        <is>
          <t>Pourcentage entier, recalculé si la tolérance change.</t>
        </is>
      </c>
      <c r="E64" s="12" t="inlineStr">
        <is>
          <t>Indispensable</t>
        </is>
      </c>
      <c r="F64" s="11" t="inlineStr">
        <is>
          <t>—</t>
        </is>
      </c>
      <c r="G64" s="13" t="inlineStr">
        <is>
          <t>1</t>
        </is>
      </c>
      <c r="H64" s="14" t="n"/>
    </row>
    <row r="65" ht="27.75" customHeight="1">
      <c r="A65" s="15" t="inlineStr">
        <is>
          <t>EX-085</t>
        </is>
      </c>
      <c r="B65" s="16" t="inlineStr">
        <is>
          <t>Statistiques</t>
        </is>
      </c>
      <c r="C65" s="16" t="inlineStr">
        <is>
          <t>Je remets les compteurs à zéro d'un seul geste.</t>
        </is>
      </c>
      <c r="D65" s="16" t="inlineStr">
        <is>
          <t>Action dans les réglages, avec confirmation. Le métronome n'est pas arrêté.</t>
        </is>
      </c>
      <c r="E65" s="12" t="inlineStr">
        <is>
          <t>Indispensable</t>
        </is>
      </c>
      <c r="F65" s="16" t="inlineStr">
        <is>
          <t>—</t>
        </is>
      </c>
      <c r="G65" s="13" t="inlineStr">
        <is>
          <t>1</t>
        </is>
      </c>
      <c r="H65" s="14" t="n"/>
    </row>
    <row r="66" ht="27.75" customHeight="1">
      <c r="A66" s="10" t="inlineStr">
        <is>
          <t>EX-084</t>
        </is>
      </c>
      <c r="B66" s="11" t="inlineStr">
        <is>
          <t>Statistiques</t>
        </is>
      </c>
      <c r="C66" s="11" t="inlineStr">
        <is>
          <t>Les statistiques ne doivent pas rester plombées par mes premières notes.</t>
        </is>
      </c>
      <c r="D66" s="11" t="inlineStr">
        <is>
          <t>Fenêtre glissante sur les N dernières notes, N réglable.</t>
        </is>
      </c>
      <c r="E66" s="17" t="inlineStr">
        <is>
          <t>Important</t>
        </is>
      </c>
      <c r="F66" s="11" t="inlineStr">
        <is>
          <t>200 notes</t>
        </is>
      </c>
      <c r="G66" s="18" t="inlineStr">
        <is>
          <t>2</t>
        </is>
      </c>
      <c r="H66" s="14" t="n"/>
    </row>
    <row r="67" ht="27.75" customHeight="1">
      <c r="A67" s="15" t="inlineStr">
        <is>
          <t>EX-089</t>
        </is>
      </c>
      <c r="B67" s="16" t="inlineStr">
        <is>
          <t>Statistiques</t>
        </is>
      </c>
      <c r="C67" s="16" t="inlineStr">
        <is>
          <t>Je veux un retour immédiat sur mes toutes dernières notes.</t>
        </is>
      </c>
      <c r="D67"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7" s="17" t="inlineStr">
        <is>
          <t>Important</t>
        </is>
      </c>
      <c r="F67" s="16" t="inlineStr">
        <is>
          <t>8 notes</t>
        </is>
      </c>
      <c r="G67" s="18" t="inlineStr">
        <is>
          <t>1</t>
        </is>
      </c>
      <c r="H67" s="14" t="inlineStr">
        <is>
          <t>16 notes : assez pour noyer la variabilité d'une frappe isolée, assez peu pour qu'une correction du jeu se voie en une ou deux mesures</t>
        </is>
      </c>
    </row>
    <row r="68" ht="27.75" customHeight="1">
      <c r="A68" s="10" t="inlineStr">
        <is>
          <t>EX-086</t>
        </is>
      </c>
      <c r="B68" s="11" t="inlineStr">
        <is>
          <t>Statistiques</t>
        </is>
      </c>
      <c r="C68" s="11" t="inlineStr">
        <is>
          <t>À la fin d'une séance je veux un résumé.</t>
        </is>
      </c>
      <c r="D68" s="11" t="inlineStr">
        <is>
          <t>Durée, tempo, notes, moyenne, écart-type, pourcentage dans la zone.</t>
        </is>
      </c>
      <c r="E68" s="19" t="inlineStr">
        <is>
          <t>Souhaitable</t>
        </is>
      </c>
      <c r="F68" s="11" t="inlineStr">
        <is>
          <t>—</t>
        </is>
      </c>
      <c r="G68" s="18" t="n">
        <v>3</v>
      </c>
      <c r="H68" s="14" t="n"/>
    </row>
    <row r="69" ht="27.75" customHeight="1">
      <c r="A69" s="15" t="inlineStr">
        <is>
          <t>EX-087</t>
        </is>
      </c>
      <c r="B69" s="16" t="inlineStr">
        <is>
          <t>Statistiques</t>
        </is>
      </c>
      <c r="C69" s="16" t="inlineStr">
        <is>
          <t>L'historique des séances est conservé pour que je puisse me comparer.</t>
        </is>
      </c>
      <c r="D69" s="16" t="inlineStr">
        <is>
          <t>Liste des séances passées, stockée localement.</t>
        </is>
      </c>
      <c r="E69" s="19" t="inlineStr">
        <is>
          <t>Souhaitable</t>
        </is>
      </c>
      <c r="F69" s="16" t="inlineStr">
        <is>
          <t>—</t>
        </is>
      </c>
      <c r="G69" s="18" t="n">
        <v>3</v>
      </c>
      <c r="H69" s="14" t="n"/>
    </row>
    <row r="70" ht="27.75" customHeight="1">
      <c r="A70" s="10" t="inlineStr">
        <is>
          <t>EX-088</t>
        </is>
      </c>
      <c r="B70" s="11" t="inlineStr">
        <is>
          <t>Statistiques</t>
        </is>
      </c>
      <c r="C70" s="11" t="inlineStr">
        <is>
          <t>Je peux sortir mes données brutes pour les analyser ailleurs.</t>
        </is>
      </c>
      <c r="D70" s="11" t="inlineStr">
        <is>
          <t>Export CSV.</t>
        </is>
      </c>
      <c r="E70" s="19" t="inlineStr">
        <is>
          <t>Souhaitable</t>
        </is>
      </c>
      <c r="F70" s="11" t="inlineStr">
        <is>
          <t>—</t>
        </is>
      </c>
      <c r="G70" s="18" t="n">
        <v>3</v>
      </c>
      <c r="H70" s="14" t="n"/>
    </row>
    <row r="71" ht="27.75" customHeight="1">
      <c r="A71" s="15" t="inlineStr">
        <is>
          <t>EX-090</t>
        </is>
      </c>
      <c r="B71" s="16" t="inlineStr">
        <is>
          <t>Ergonomie</t>
        </is>
      </c>
      <c r="C71" s="16" t="inlineStr">
        <is>
          <t>L'écran ne doit pas s'éteindre pendant que je joue.</t>
        </is>
      </c>
      <c r="D71" s="16" t="inlineStr">
        <is>
          <t>Veille désactivée pendant une séance, réactivée à l'arrêt.</t>
        </is>
      </c>
      <c r="E71" s="12" t="inlineStr">
        <is>
          <t>Indispensable</t>
        </is>
      </c>
      <c r="F71" s="16" t="inlineStr">
        <is>
          <t>—</t>
        </is>
      </c>
      <c r="G71" s="13" t="inlineStr">
        <is>
          <t>1</t>
        </is>
      </c>
      <c r="H71" s="14" t="n"/>
    </row>
    <row r="72" ht="27.75" customHeight="1">
      <c r="A72" s="10" t="inlineStr">
        <is>
          <t>EX-091</t>
        </is>
      </c>
      <c r="B72" s="11" t="inlineStr">
        <is>
          <t>Ergonomie</t>
        </is>
      </c>
      <c r="C72" s="11" t="inlineStr">
        <is>
          <t>Démarrer et arrêter doit se faire d'un seul geste, sans regarder.</t>
        </is>
      </c>
      <c r="D72" s="11" t="inlineStr">
        <is>
          <t>Bouton atteignable au pouce, zone tactile large, présent dans les deux modes d'affichage.</t>
        </is>
      </c>
      <c r="E72" s="12" t="inlineStr">
        <is>
          <t>Indispensable</t>
        </is>
      </c>
      <c r="F72" s="11" t="inlineStr">
        <is>
          <t>—</t>
        </is>
      </c>
      <c r="G72" s="13" t="inlineStr">
        <is>
          <t>1</t>
        </is>
      </c>
      <c r="H72" s="14" t="n"/>
    </row>
    <row r="73" ht="27.75" customHeight="1">
      <c r="A73" s="15" t="inlineStr">
        <is>
          <t>EX-093</t>
        </is>
      </c>
      <c r="B73" s="16" t="inlineStr">
        <is>
          <t>Ergonomie</t>
        </is>
      </c>
      <c r="C73" s="16" t="inlineStr">
        <is>
          <t>Mes réglages sont mémorisés d'une séance à l'autre.</t>
        </is>
      </c>
      <c r="D73" s="16" t="inlineStr">
        <is>
          <t>Tempo, clic, volume, alignement, tolérance et clavier restaurés au lancement.</t>
        </is>
      </c>
      <c r="E73" s="17" t="inlineStr">
        <is>
          <t>Important</t>
        </is>
      </c>
      <c r="F73" s="16" t="inlineStr">
        <is>
          <t>—</t>
        </is>
      </c>
      <c r="G73" s="13" t="inlineStr">
        <is>
          <t>1</t>
        </is>
      </c>
      <c r="H73" s="14" t="n"/>
    </row>
    <row r="74" ht="27.75" customHeight="1">
      <c r="A74" s="10" t="inlineStr">
        <is>
          <t>EX-100</t>
        </is>
      </c>
      <c r="B74" s="11" t="inlineStr">
        <is>
          <t>Non fonctionnel</t>
        </is>
      </c>
      <c r="C74" s="11" t="inlineStr">
        <is>
          <t>Ce que je vois à l'écran doit suivre ma frappe sans décalage perceptible.</t>
        </is>
      </c>
      <c r="D74" s="11" t="inlineStr">
        <is>
          <t>Moins de 50 ms entre la réception du message MIDI et l'apparition du repère.</t>
        </is>
      </c>
      <c r="E74" s="12" t="inlineStr">
        <is>
          <t>Indispensable</t>
        </is>
      </c>
      <c r="F74" s="11" t="inlineStr">
        <is>
          <t>&lt; 50 ms</t>
        </is>
      </c>
      <c r="G74" s="13" t="inlineStr">
        <is>
          <t>1</t>
        </is>
      </c>
      <c r="H74" s="14" t="n"/>
    </row>
    <row r="75" ht="27.75" customHeight="1">
      <c r="A75" s="15" t="inlineStr">
        <is>
          <t>EX-102</t>
        </is>
      </c>
      <c r="B75" s="16" t="inlineStr">
        <is>
          <t>Non fonctionnel</t>
        </is>
      </c>
      <c r="C75" s="16" t="inlineStr">
        <is>
          <t>Aucune donnée personnelle collectée, aucun outil de mesure d'audience.</t>
        </is>
      </c>
      <c r="D75" s="16" t="inlineStr">
        <is>
          <t>Aucun composant tiers d'analyse ni de publicité dans le projet.</t>
        </is>
      </c>
      <c r="E75" s="12" t="inlineStr">
        <is>
          <t>Indispensable</t>
        </is>
      </c>
      <c r="F75" s="16" t="inlineStr">
        <is>
          <t>—</t>
        </is>
      </c>
      <c r="G75" s="13" t="inlineStr">
        <is>
          <t>1</t>
        </is>
      </c>
      <c r="H75" s="14" t="n"/>
    </row>
    <row r="76" ht="27.75" customHeight="1">
      <c r="A76" s="10" t="inlineStr">
        <is>
          <t>EX-101</t>
        </is>
      </c>
      <c r="B76" s="11" t="inlineStr">
        <is>
          <t>Non fonctionnel</t>
        </is>
      </c>
      <c r="C76" s="11" t="inlineStr">
        <is>
          <t>Une séance d'une heure ne doit pas vider ma batterie.</t>
        </is>
      </c>
      <c r="D76" s="11" t="inlineStr">
        <is>
          <t>Moins de 15 % par heure, écran allumé. À mesurer : le thème clair consomme davantage sur écran OLED.</t>
        </is>
      </c>
      <c r="E76" s="17" t="inlineStr">
        <is>
          <t>Important</t>
        </is>
      </c>
      <c r="F76" s="11" t="inlineStr">
        <is>
          <t>&lt; 15 %/h</t>
        </is>
      </c>
      <c r="G76" s="18" t="n">
        <v>3</v>
      </c>
      <c r="H76" s="14" t="n"/>
    </row>
    <row r="77" ht="27.75" customHeight="1">
      <c r="A77" s="15" t="inlineStr">
        <is>
          <t>EX-103</t>
        </is>
      </c>
      <c r="B77" s="16" t="inlineStr">
        <is>
          <t>Non fonctionnel</t>
        </is>
      </c>
      <c r="C77" s="16" t="inlineStr">
        <is>
          <t>L'application doit être prête à mesurer presque immédiatement.</t>
        </is>
      </c>
      <c r="D77" s="16" t="inlineStr">
        <is>
          <t>Lancement en moins de 2 s, prête en moins de 5 s.</t>
        </is>
      </c>
      <c r="E77" s="17" t="inlineStr">
        <is>
          <t>Important</t>
        </is>
      </c>
      <c r="F77" s="16" t="inlineStr">
        <is>
          <t>—</t>
        </is>
      </c>
      <c r="G77" s="18" t="inlineStr">
        <is>
          <t>2</t>
        </is>
      </c>
      <c r="H77" s="14" t="n"/>
    </row>
    <row r="78" ht="27.75" customHeight="1">
      <c r="A78" s="10" t="inlineStr">
        <is>
          <t>EX-120</t>
        </is>
      </c>
      <c r="B78" s="11" t="inlineStr">
        <is>
          <t>Publication</t>
        </is>
      </c>
      <c r="C78" s="11" t="inlineStr">
        <is>
          <t>Je dois pouvoir installer l'application sur mon téléphone sans passer par l'App Store.</t>
        </is>
      </c>
      <c r="D78" s="11" t="inlineStr">
        <is>
          <t>Distribution par TestFlight ou compilation directe depuis Xcode.</t>
        </is>
      </c>
      <c r="E78" s="17" t="inlineStr">
        <is>
          <t>Important</t>
        </is>
      </c>
      <c r="F78" s="11" t="inlineStr">
        <is>
          <t>—</t>
        </is>
      </c>
      <c r="G78" s="13" t="inlineStr">
        <is>
          <t>1</t>
        </is>
      </c>
      <c r="H78" s="14" t="n"/>
    </row>
    <row r="79" ht="27.75" customHeight="1">
      <c r="A79" s="15" t="inlineStr">
        <is>
          <t>EX-121</t>
        </is>
      </c>
      <c r="B79" s="16" t="inlineStr">
        <is>
          <t>Publication</t>
        </is>
      </c>
      <c r="C79" s="16" t="inlineStr">
        <is>
          <t>L'icône respecte les contraintes d'Apple.</t>
        </is>
      </c>
      <c r="D79" s="16" t="inlineStr">
        <is>
          <t>1024×1024, sans canal alpha, coins carrés — iOS applique son propre masque.</t>
        </is>
      </c>
      <c r="E79" s="17" t="inlineStr">
        <is>
          <t>Important</t>
        </is>
      </c>
      <c r="F79" s="16" t="inlineStr">
        <is>
          <t>—</t>
        </is>
      </c>
      <c r="G79" s="13" t="inlineStr">
        <is>
          <t>1</t>
        </is>
      </c>
      <c r="H79" s="14" t="n"/>
    </row>
    <row r="80" ht="27.75" customHeight="1">
      <c r="A80" s="10" t="inlineStr">
        <is>
          <t>EX-122</t>
        </is>
      </c>
      <c r="B80" s="11" t="inlineStr">
        <is>
          <t>Publication</t>
        </is>
      </c>
      <c r="C80" s="11" t="inlineStr">
        <is>
          <t>L'application doit passer la revue de l'App Store sans reprise d'interface.</t>
        </is>
      </c>
      <c r="D80" s="11" t="inlineStr">
        <is>
          <t>Aucun écart notable aux conventions du système : navigation, contrôles, accessibilité, absence de fonction cachée.</t>
        </is>
      </c>
      <c r="E80" s="17" t="inlineStr">
        <is>
          <t>Important</t>
        </is>
      </c>
      <c r="F80" s="11" t="inlineStr">
        <is>
          <t>—</t>
        </is>
      </c>
      <c r="G80" s="18" t="inlineStr">
        <is>
          <t>2</t>
        </is>
      </c>
      <c r="H80" s="14" t="n"/>
    </row>
    <row r="81" ht="27.75" customHeight="1">
      <c r="A81" s="15" t="inlineStr">
        <is>
          <t>EX-123</t>
        </is>
      </c>
      <c r="B81" s="16" t="inlineStr">
        <is>
          <t>Publication</t>
        </is>
      </c>
      <c r="C81" s="16" t="inlineStr">
        <is>
          <t>La fiche de collecte de données doit pouvoir être remplie honnêtement à « aucune ».</t>
        </is>
      </c>
      <c r="D81" s="16" t="inlineStr">
        <is>
          <t>Aucune donnée ne quitte l'appareil, ce qui doit rester vrai à chaque évolution.</t>
        </is>
      </c>
      <c r="E81" s="17" t="inlineStr">
        <is>
          <t>Important</t>
        </is>
      </c>
      <c r="F81" s="16" t="inlineStr">
        <is>
          <t>aucune</t>
        </is>
      </c>
      <c r="G81" s="18" t="inlineStr">
        <is>
          <t>2</t>
        </is>
      </c>
      <c r="H81" s="14" t="n"/>
    </row>
    <row r="82" ht="28" customHeight="1">
      <c r="A82" s="10" t="inlineStr">
        <is>
          <t>EX-124</t>
        </is>
      </c>
      <c r="B82" s="11" t="inlineStr">
        <is>
          <t>Publication</t>
        </is>
      </c>
      <c r="C82" s="11" t="inlineStr">
        <is>
          <t>Une politique de confidentialité, même minimale, doit exister.</t>
        </is>
      </c>
      <c r="D82" s="11" t="inlineStr">
        <is>
          <t>Page publique indiquant qu'aucune donnée n'est collectée.</t>
        </is>
      </c>
      <c r="E82" s="17" t="inlineStr">
        <is>
          <t>Important</t>
        </is>
      </c>
      <c r="F82" s="11" t="inlineStr">
        <is>
          <t>—</t>
        </is>
      </c>
      <c r="G82" s="18" t="n">
        <v>3</v>
      </c>
      <c r="H82" s="14" t="n"/>
    </row>
    <row r="83">
      <c r="A83" s="33" t="inlineStr">
        <is>
          <t>EX-133</t>
        </is>
      </c>
      <c r="B83" s="33" t="inlineStr">
        <is>
          <t>Instrument</t>
        </is>
      </c>
      <c r="C83" s="33" t="inlineStr">
        <is>
          <t>Je veux que le téléphone sonorise lui-même les notes que je joue, avec un timbre que je choisis, pour que mes notes et le clic sortent du même haut-parleur.</t>
        </is>
      </c>
      <c r="D83"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t>
        </is>
      </c>
      <c r="E83" s="36" t="inlineStr">
        <is>
          <t>Souhaitable</t>
        </is>
      </c>
      <c r="F83" s="33" t="inlineStr">
        <is>
          <t>désactivé, piano</t>
        </is>
      </c>
      <c r="G83" s="38" t="inlineStr">
        <is>
          <t>3</t>
        </is>
      </c>
      <c r="H83" s="35" t="n"/>
    </row>
    <row r="84" ht="57" customHeight="1">
      <c r="A84" s="33" t="inlineStr">
        <is>
          <t>EX-134</t>
        </is>
      </c>
      <c r="B84" s="33" t="inlineStr">
        <is>
          <t>Instrument</t>
        </is>
      </c>
      <c r="C84" s="33" t="inlineStr">
        <is>
          <t>Je veux que la sonorisation par l'iPhone marque aussi la justesse : une octave ajoutée quand je suis dans la zone, ou le silence quand je n'y suis pas.</t>
        </is>
      </c>
      <c r="D84"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4" s="36" t="inlineStr">
        <is>
          <t>Souhaitable</t>
        </is>
      </c>
      <c r="F84" s="33" t="inlineStr">
        <is>
          <t>rien de particulier</t>
        </is>
      </c>
      <c r="G84" s="38" t="inlineStr">
        <is>
          <t>3</t>
        </is>
      </c>
      <c r="H84" s="35" t="n"/>
    </row>
    <row r="85" ht="57" customHeight="1"/>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43"/>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2026-07-30T17:51:42Z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