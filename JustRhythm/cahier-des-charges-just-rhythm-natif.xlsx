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5"/>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v2.4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3" ht="82" customHeight="1">
      <c r="A43"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4" ht="82" customHeight="1">
      <c r="A44"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5" ht="68" customHeight="1">
      <c r="A45"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6" ht="51.75" customHeight="1">
      <c r="A46"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7" ht="30" customHeight="1">
      <c r="A47" s="4" t="inlineStr">
        <is>
          <t>v1.0 à v1.3 — Versions antérieures, interface à identité graphique propre. Conservées pour mémoire, plus maintenues.</t>
        </is>
      </c>
    </row>
    <row r="49">
      <c r="A49" s="3" t="inlineStr">
        <is>
          <t>Synthèse (calculée depuis l'onglet Exigences)</t>
        </is>
      </c>
    </row>
    <row r="50">
      <c r="A50" s="5" t="inlineStr">
        <is>
          <t>Phase 1 — Indispensable</t>
        </is>
      </c>
      <c r="B50" s="6">
        <f>COUNTIFS(Exigences!$E$3:$E$200,"Indispensable",Exigences!$G$3:$G$200,"1")</f>
        <v/>
      </c>
    </row>
    <row r="51">
      <c r="A51" s="5" t="inlineStr">
        <is>
          <t>Phase 1 — Important</t>
        </is>
      </c>
      <c r="B51" s="6">
        <f>COUNTIFS(Exigences!$E$3:$E$200,"Important",Exigences!$G$3:$G$200,"1")</f>
        <v/>
      </c>
    </row>
    <row r="52">
      <c r="A52" s="5" t="inlineStr">
        <is>
          <t>Phase 1 — Souhaitable</t>
        </is>
      </c>
      <c r="B52" s="6">
        <f>COUNTIFS(Exigences!$E$3:$E$200,"Souhaitable",Exigences!$G$3:$G$200,"1")</f>
        <v/>
      </c>
    </row>
    <row r="53">
      <c r="A53" s="5" t="inlineStr">
        <is>
          <t>Phase 1 — total</t>
        </is>
      </c>
      <c r="B53" s="6">
        <f>COUNTIF(Exigences!$G$3:$G$200,"1")</f>
        <v/>
      </c>
    </row>
    <row r="54">
      <c r="A54" s="5" t="inlineStr">
        <is>
          <t>Phase 2 — reporté</t>
        </is>
      </c>
      <c r="B54" s="6">
        <f>COUNTIF(Exigences!$G$3:$G$200,"2")</f>
        <v/>
      </c>
    </row>
    <row r="55">
      <c r="A55" s="5" t="inlineStr">
        <is>
          <t>Total décrit</t>
        </is>
      </c>
      <c r="B55"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t>
        </is>
      </c>
      <c r="E24" s="17" t="inlineStr">
        <is>
          <t>Important</t>
        </is>
      </c>
      <c r="F24" s="16" t="inlineStr">
        <is>
          <t>—</t>
        </is>
      </c>
      <c r="G24" s="18" t="inlineStr">
        <is>
          <t>2</t>
        </is>
      </c>
      <c r="H24" s="14" t="n"/>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s'ajoutant à la compensation automatique.</t>
        </is>
      </c>
      <c r="E34" s="17" t="inlineStr">
        <is>
          <t>Important</t>
        </is>
      </c>
      <c r="F34" s="16" t="inlineStr">
        <is>
          <t>0 ms</t>
        </is>
      </c>
      <c r="G34" s="13" t="inlineStr">
        <is>
          <t>1</t>
        </is>
      </c>
      <c r="H34" s="14" t="n"/>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on ne calibre pas sur sa propre perception, puisqu'on anticipe naturellement de 10 à 20 ms.</t>
        </is>
      </c>
      <c r="E35" s="17" t="inlineStr">
        <is>
          <t>Important</t>
        </is>
      </c>
      <c r="F35" s="11" t="inlineStr">
        <is>
          <t>—</t>
        </is>
      </c>
      <c r="G35" s="13" t="inlineStr">
        <is>
          <t>1</t>
        </is>
      </c>
      <c r="H35" s="14" t="n"/>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8" t="inlineStr">
        <is>
          <t>3</t>
        </is>
      </c>
      <c r="H49" s="35"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50" s="36" t="inlineStr">
        <is>
          <t>Souhaitable</t>
        </is>
      </c>
      <c r="F50" s="33" t="inlineStr">
        <is>
          <t>suit EX-053</t>
        </is>
      </c>
      <c r="G50" s="38" t="inlineStr">
        <is>
          <t>3</t>
        </is>
      </c>
      <c r="H50" s="35" t="inlineStr">
        <is>
          <t>sans lui, Start donne le départ mais pas le tempo : la dérive est inévitable — fusionné avec EX-053 le 27/07/2026, l'usage a confirmé qu'ils ne se séparent jamais ; tempo reçu rendu persistant le 29/07/2026</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 et sa largeur tient compte de la finesse de la grille.</t>
        </is>
      </c>
      <c r="D54"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4" s="12" t="inlineStr">
        <is>
          <t>Indispensable</t>
        </is>
      </c>
      <c r="F54" s="16" t="inlineStr">
        <is>
          <t>5 % ou 20 ms</t>
        </is>
      </c>
      <c r="G54" s="13" t="inlineStr">
        <is>
          <t>1</t>
        </is>
      </c>
      <c r="H54" s="14" t="inlineStr">
        <is>
          <t>passée d'une largeur absolue en ms à un pourcentage de la subdivision : ±50 ms valent 5 % d'une noire à 60 bpm mais 43 % d'une double-croche à 128 bpm</t>
        </is>
      </c>
    </row>
    <row r="55" ht="27.75" customHeight="1">
      <c r="A55" s="10" t="inlineStr">
        <is>
          <t>EX-066</t>
        </is>
      </c>
      <c r="B55" s="11" t="inlineStr">
        <is>
          <t>Visualisation</t>
        </is>
      </c>
      <c r="C55" s="11" t="inlineStr">
        <is>
          <t>Une lecture instantanée me dit où j'en suis sans que j'aie à quitter le clavier des yeux.</t>
        </is>
      </c>
      <c r="D55"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la fourchette chiffrée en petit, seule à porter l'ampleur du décalage. Jamais la dernière note. Lisible à un mètre depuis le pupitre.</t>
        </is>
      </c>
      <c r="E55" s="12" t="inlineStr">
        <is>
          <t>Indispensable</t>
        </is>
      </c>
      <c r="F55" s="11" t="inlineStr">
        <is>
          <t>—</t>
        </is>
      </c>
      <c r="G55" s="13" t="inlineStr">
        <is>
          <t>1</t>
        </is>
      </c>
      <c r="H55" s="14" t="inlineStr">
        <is>
          <t>l'écart de la dernière note sautait d'une frappe à l'autre : impossible de s'en servir pour se corriger en jouant — remplacé le 29/07/2026, d'abord par neuf barres graduées, réduites à trois voyants après essai (voir Risques et décisions)</t>
        </is>
      </c>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 sans qu'elle puisse mentir sur la plage réellement atteignable.</t>
        </is>
      </c>
      <c r="D60" s="16" t="inlineStr">
        <is>
          <t>Bornée à la demi-subdivision, plage qu'un écart ne peut par construction jamais dépasser (EX-032). Curseur de resserrement de 25 % à 100 % de cette plage.</t>
        </is>
      </c>
      <c r="E60" s="19" t="inlineStr">
        <is>
          <t>Souhaitable</t>
        </is>
      </c>
      <c r="F60" s="16" t="inlineStr">
        <is>
          <t>100 % (½ subdivision)</t>
        </is>
      </c>
      <c r="G60" s="18" t="inlineStr">
        <is>
          <t>1</t>
        </is>
      </c>
      <c r="H60" s="14" t="inlineStr">
        <is>
          <t>au-delà de la demi-subdivision le graphe montrait du vide, en deçà il écrasait les notes contre le bord</t>
        </is>
      </c>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visible en permanence.</t>
        </is>
      </c>
      <c r="E62" s="12" t="inlineStr">
        <is>
          <t>Indispensable</t>
        </is>
      </c>
      <c r="F62" s="16" t="inlineStr">
        <is>
          <t>—</t>
        </is>
      </c>
      <c r="G62" s="13" t="inlineStr">
        <is>
          <t>1</t>
        </is>
      </c>
      <c r="H62" s="14" t="n"/>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t>
        </is>
      </c>
      <c r="E64" s="12" t="inlineStr">
        <is>
          <t>Indispensable</t>
        </is>
      </c>
      <c r="F64" s="16" t="inlineStr">
        <is>
          <t>5 % ou 15 ms</t>
        </is>
      </c>
      <c r="G64" s="13" t="inlineStr">
        <is>
          <t>1</t>
        </is>
      </c>
      <c r="H64" s="14" t="n"/>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et dispersion des 16 dernières notes, les deux ensemble. Elles alimentent la lecture instantanée (EX-066). La moyenne seule ne suffit pas : les avances y annulent les retards, si bien qu'un jeu dispersé mais centré afficherait le même chiffre qu'un jeu propre. Fenêtre fixe pour l'instant, la rendre réglable reste ouvert.</t>
        </is>
      </c>
      <c r="E68" s="17" t="inlineStr">
        <is>
          <t>Important</t>
        </is>
      </c>
      <c r="F68" s="16" t="inlineStr">
        <is>
          <t>8 notes</t>
        </is>
      </c>
      <c r="G68" s="18" t="inlineStr">
        <is>
          <t>1</t>
        </is>
      </c>
      <c r="H68" s="14" t="inlineStr">
        <is>
          <t>16 notes : assez pour noyer la variabilité d'une frappe isolée, assez peu pour qu'une correction du jeu se voie en une ou deux mesures</t>
        </is>
      </c>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EX-130</t>
        </is>
      </c>
      <c r="B84" s="33" t="inlineStr">
        <is>
          <t>Récompense</t>
        </is>
      </c>
      <c r="C84" s="33" t="inlineStr">
        <is>
          <t>Je veux un retour sonore sur l'instrument qui signale que ma frappe est juste, activable et désactivable.</t>
        </is>
      </c>
      <c r="D84" s="33" t="inlineStr">
        <is>
          <t>Un réglage « Récompense sonore » dans les Réglages, désactivé par défaut. Actif, il déclenche un message MIDI vers l'instrument à chaque frappe tombée dans la zone « juste », coupé par un Note Off peu après pour ne jamais laisser de note tenue.</t>
        </is>
      </c>
      <c r="E84" s="36" t="inlineStr">
        <is>
          <t>Souhaitable</t>
        </is>
      </c>
      <c r="F84" s="33" t="inlineStr">
        <is>
          <t>désactivé</t>
        </is>
      </c>
      <c r="G84" s="38" t="inlineStr">
        <is>
          <t>3</t>
        </is>
      </c>
      <c r="H84" s="35" t="inlineStr">
        <is>
          <t>testé et validé sur mon clavier le 27/07/2026</t>
        </is>
      </c>
    </row>
    <row r="85" ht="57" customHeight="1">
      <c r="A85" s="33" t="inlineStr">
        <is>
          <t>EX-131</t>
        </is>
      </c>
      <c r="B85" s="33" t="inlineStr">
        <is>
          <t>Récompense</t>
        </is>
      </c>
      <c r="C85" s="33" t="inlineStr">
        <is>
          <t>Je veux choisir la forme de ce retour : soit une note ajoutée à l'octave, soit le silence si je suis imprécis.</t>
        </is>
      </c>
      <c r="D85" s="33" t="inlineStr">
        <is>
          <t>Un sélecteur à deux choix dans les Réglages, actif seulement si EX-130 l'est. « Note doublée à l'octave » : la frappe juste ajoute une note un octave au-dessus. « Note muette si imprécise » : seule une frappe juste est renvoyée par l'application, à la même hauteur ; une frappe imprécise reste silencieuse.</t>
        </is>
      </c>
      <c r="E85" s="36" t="inlineStr">
        <is>
          <t>Souhaitable</t>
        </is>
      </c>
      <c r="F85" s="33" t="inlineStr">
        <is>
          <t>note à l'octave</t>
        </is>
      </c>
      <c r="G85" s="38" t="inlineStr">
        <is>
          <t>3</t>
        </is>
      </c>
      <c r="H85" s="35" t="inlineStr">
        <is>
          <t>le mode muet suppose le Local Control coupé sur l'instrument, sinon il joue déjà tout seul en local</t>
        </is>
      </c>
    </row>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26"/>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2026-07-29T15:00:11Z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