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aphaeloundjian/Desktop/JustRhythm/JustRhythm/JustRhythm/Tutorial/"/>
    </mc:Choice>
  </mc:AlternateContent>
  <xr:revisionPtr revIDLastSave="0" documentId="13_ncr:1_{BABEC4DE-3638-4E44-8A09-06290FA5728C}" xr6:coauthVersionLast="47" xr6:coauthVersionMax="47" xr10:uidLastSave="{00000000-0000-0000-0000-000000000000}"/>
  <bookViews>
    <workbookView xWindow="0" yWindow="880" windowWidth="16380" windowHeight="8200" tabRatio="500" xr2:uid="{00000000-000D-0000-FFFF-FFFF00000000}"/>
  </bookViews>
  <sheets>
    <sheet name="Contexte" sheetId="1" r:id="rId1"/>
    <sheet name="Exigences" sheetId="2" r:id="rId2"/>
    <sheet name="Paramètres" sheetId="3" r:id="rId3"/>
    <sheet name="Risques et décisions" sheetId="4" r:id="rId4"/>
  </sheets>
  <definedNames>
    <definedName name="_xlnm._FilterDatabase" localSheetId="1" hidden="1">Exigences!$A$1:$H$83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1" i="1" l="1"/>
  <c r="B50" i="1"/>
  <c r="B49" i="1"/>
  <c r="B48" i="1"/>
  <c r="B47" i="1"/>
  <c r="B46" i="1"/>
</calcChain>
</file>

<file path=xl/sharedStrings.xml><?xml version="1.0" encoding="utf-8"?>
<sst xmlns="http://schemas.openxmlformats.org/spreadsheetml/2006/main" count="774" uniqueCount="464">
  <si>
    <t>Cahier des charges — « Fil à plomb », version native</t>
  </si>
  <si>
    <t>Application iPhone d'entraînement à la précision rythmique au piano · v2.0 · rédigé par Raphaël</t>
  </si>
  <si>
    <t>Le besoin</t>
  </si>
  <si>
    <t>Je travaille ma régularité rythmique au piano. Un métronome ordinaire me dit où est le temps, mais pas de combien je suis à côté. Or les deux erreurs que je veux corriger n'ont rien à voir : un décalage systématique — je traîne ou je précipite en permanence — ne se traite pas comme une dispersion, où je suis irrégulier autour du temps. Sans mesure, je ne peux pas faire la différence, ni savoir si je progresse.</t>
  </si>
  <si>
    <t>Je veux une mesure objective, en millisecondes, de l'écart entre chaque note jouée et le battement du métronome. Affichée en temps réel pendant que je joue, et résumée en chiffres.</t>
  </si>
  <si>
    <t>Le principe d'affichage</t>
  </si>
  <si>
    <t>Une ligne verticale centrale représente le battement. Le temps défile de haut en bas. Chaque note apparaît sous forme de barre, à gauche de la ligne si je suis en avance, à droite si je suis en retard, sur la ligne si je suis pile. Je dois pouvoir lire d'un coup d'œil, sans quitter le clavier des yeux plus d'une fraction de seconde, si je dérive et dans quel sens.</t>
  </si>
  <si>
    <t>Ce que cette version change</t>
  </si>
  <si>
    <t>Une première version fonctionnelle existe. Elle porte une identité graphique inventée — palette propre, polices importées, cadres dessinés à la main. Cela se voit, et cela ne ressemble à aucune application iPhone. Je veux repartir sur une interface qui emploie exclusivement le vocabulaire visuel du système, d'abord parce que c'est plus lisible et plus cohérent avec le reste du téléphone, ensuite parce que j'envisage de publier l'application sur l'App Store et qu'une interface exotique y est un handicap.</t>
  </si>
  <si>
    <t>Deuxième changement : les réglages quittent l'écran de mesure. Je distingue ce que je touche au milieu d'un morceau — tempo, clic, volume — de ce que je fixe une fois puis que j'oublie — clavier, alignement, tolérance. Les premiers restent sous les yeux, les seconds passent derrière un bouton d'engrenage, comme partout ailleurs sur iOS.</t>
  </si>
  <si>
    <t>Troisième changement : le périmètre est resserré. Ce document ne décrit que ce qui est réellement à construire. Les fonctions reportées figurent en phase 2 ; les fonctions écartées après essai sont dans l'onglet Risques et décisions, avec leurs raisons.</t>
  </si>
  <si>
    <t>Pourquoi une application native, et pas une page web</t>
  </si>
  <si>
    <t>Safari sur iPhone n'implémente pas Web MIDI : une page web ne peut pas lire mon clavier. Une application native accède au MIDI par CoreMIDI, quel que soit le transport, et dispose d'une horloge audio fiable.</t>
  </si>
  <si>
    <t>Pourquoi le MIDI, et pas le micro</t>
  </si>
  <si>
    <t>Une version antérieure écoutait le piano au micro. Deux défauts rédhibitoires : la détection d'attaque se règle à la main et se trompe, et surtout la chaîne audio d'entrée ajoute un retard de 20 à 80 ms, inconnu et variable — exactement la grandeur que je cherche à mesurer. Le MIDI donne l'instant de la frappe horodaté par le système, sans ambiguïté et sans réglage.</t>
  </si>
  <si>
    <t>Qui, où, quand</t>
  </si>
  <si>
    <t>Moi seul dans un premier temps, pianiste amateur adulte, en travail personnel. L'iPhone est posé sur le pupitre, à un mètre. Séances de 10 à 45 minutes. Si l'application est publiée, les utilisateurs visés sont des pianistes amateurs équipés d'un clavier MIDI.</t>
  </si>
  <si>
    <t>Ce qui est hors périmètre</t>
  </si>
  <si>
    <t>Pas de lecture ni de suivi de partition. Pas de jugement sur les hauteurs jouées : une fausse note bien en place est comptée comme juste rythmiquement. Pas d'enregistrement audio. Pas de compte en ligne ni de partage. Pas de version iPad, Apple Watch ou Android.</t>
  </si>
  <si>
    <t>Critère de réussite</t>
  </si>
  <si>
    <t>À la fin d'une séance je sais : si je suis en moyenne en avance ou en retard, de combien, et si ma dispersion diminue par rapport à la séance précédente. Et un utilisateur qui ouvre l'application sans explication doit comprendre le graphe en quelques secondes.</t>
  </si>
  <si>
    <t>Comment lire et ajuster ce document</t>
  </si>
  <si>
    <t>L'onglet Exigences contient une ligne par besoin. La colonne « Phase » vaut 1 pour ce qui est à construire maintenant, 2 pour ce qui est reporté. Un 2 n'est pas un abandon : c'est une exigence valide, décrite, que je rouvrirai plus tard. Les colonnes sur fond jaune sont les miennes.</t>
  </si>
  <si>
    <t>L'onglet Paramètres regroupe les valeurs chiffrées, qui sont des points de départ et non des contraintes. L'onglet Risques et décisions garde la trace des choix déjà tranchés, y compris de deux fonctions construites puis retirées — pour ne pas les rejouer.</t>
  </si>
  <si>
    <t>Priorités</t>
  </si>
  <si>
    <t>Indispensable — sans cela l'application ne répond pas au besoin.    Important — attendu, mais l'application reste utilisable sans.    Souhaitable — bienvenu, reportable.</t>
  </si>
  <si>
    <t>Charge estimée</t>
  </si>
  <si>
    <t>Phase 1 : une vingtaine d'heures pour quelqu'un qui découvre SwiftUI, réparties sur une dizaine de séances. Le temps ne va pas majoritairement à écrire du code : environ un quart à la saisie, un tiers à comprendre quand et pourquoi SwiftUI redessine une vue, un quart à lire des erreurs de compilation, le reste en friction Xcode — signature, aperçus figés, appareil non détecté.</t>
  </si>
  <si>
    <t>Journal des versions</t>
  </si>
  <si>
    <t>v2.0 — Version native. Refonte complète de l'interface en vocabulaire système ; nouveau bloc d'exigences « Style et plateforme » (EX-110 à EX-118) ; séparation des réglages d'usage et de configuration (EX-096) ; ajout d'un bloc « Publication » (EX-120 à EX-124). Périmètre resserré à 40 exigences en phase 1. Deux fonctions retirées après essai : retour haptique et portrait inversé.</t>
  </si>
  <si>
    <t>v1.0 à v1.3 — Versions antérieures, interface à identité graphique propre. Conservées pour mémoire, plus maintenues.</t>
  </si>
  <si>
    <t>Synthèse (calculée depuis l'onglet Exigences)</t>
  </si>
  <si>
    <t>Phase 1 — Indispensable</t>
  </si>
  <si>
    <t>Phase 1 — Important</t>
  </si>
  <si>
    <t>Phase 1 — Souhaitable</t>
  </si>
  <si>
    <t>Phase 1 — total</t>
  </si>
  <si>
    <t>Phase 2 — reporté</t>
  </si>
  <si>
    <t>Total décrit</t>
  </si>
  <si>
    <t>ID</t>
  </si>
  <si>
    <t>Thème</t>
  </si>
  <si>
    <t>Exigence (formulée par moi)</t>
  </si>
  <si>
    <t>Critère d'acceptation</t>
  </si>
  <si>
    <t>Priorité</t>
  </si>
  <si>
    <t>Réglage / valeur</t>
  </si>
  <si>
    <t>Phase</t>
  </si>
  <si>
    <t>Mes notes</t>
  </si>
  <si>
    <t>EX-000</t>
  </si>
  <si>
    <t>Exemple</t>
  </si>
  <si>
    <t>Ligne d'exemple montrant le format attendu — à supprimer.</t>
  </si>
  <si>
    <t>Ce que je vérifie concrètement pour dire que c'est fait.</t>
  </si>
  <si>
    <t>Important</t>
  </si>
  <si>
    <t>valeur</t>
  </si>
  <si>
    <t>—</t>
  </si>
  <si>
    <t>mes notes ici</t>
  </si>
  <si>
    <t>EX-001</t>
  </si>
  <si>
    <t>Cadre</t>
  </si>
  <si>
    <t>Application iPhone native, installée sur mon téléphone.</t>
  </si>
  <si>
    <t>Swift et SwiftUI, cible iOS 17 minimum.</t>
  </si>
  <si>
    <t>Indispensable</t>
  </si>
  <si>
    <t>iOS 17+</t>
  </si>
  <si>
    <t>1</t>
  </si>
  <si>
    <t>EX-002</t>
  </si>
  <si>
    <t>L'application fonctionne entièrement hors ligne.</t>
  </si>
  <si>
    <t>Aucun appel réseau, aucun compte. Vérifiable en mode avion.</t>
  </si>
  <si>
    <t>EX-003</t>
  </si>
  <si>
    <t>L'interface est en français.</t>
  </si>
  <si>
    <t>Libellés en français, écarts en millisecondes, notes nommées Do / Ré / Mi.</t>
  </si>
  <si>
    <t>fr-FR</t>
  </si>
  <si>
    <t>EX-004</t>
  </si>
  <si>
    <t>L'application s'utilise en portrait, téléphone posé sur le pupitre.</t>
  </si>
  <si>
    <t>Portrait verrouillé. Pas d'iPad ni de paysage.</t>
  </si>
  <si>
    <t>portrait</t>
  </si>
  <si>
    <t>EX-110</t>
  </si>
  <si>
    <t>Style</t>
  </si>
  <si>
    <t>L'application doit ressembler à une application Apple, pas à une interface plaquée par-dessus iOS.</t>
  </si>
  <si>
    <t>Vocabulaire visuel du système : listes groupées, feuilles modales, barre de navigation, contrôles standard. Un utilisateur qui l'ouvre doit la trouver familière avant de la trouver jolie.</t>
  </si>
  <si>
    <t>EX-111</t>
  </si>
  <si>
    <t>Aucune couleur inventée : uniquement des couleurs sémantiques du système.</t>
  </si>
  <si>
    <t>Fonds, séparateurs et textes tirés des couleurs système. Aucune valeur hexadécimale codée en dur pour les surfaces et les textes.</t>
  </si>
  <si>
    <t>EX-112</t>
  </si>
  <si>
    <t>L'application suit le thème clair ou sombre choisi dans iOS.</t>
  </si>
  <si>
    <t>Les deux modes sont lisibles sans réglage propre à l'application, et sans thème imposé.</t>
  </si>
  <si>
    <t>EX-113</t>
  </si>
  <si>
    <t>Typographie du système, pas de police importée.</t>
  </si>
  <si>
    <t>San Francisco via les styles de texte standard. Chiffres à chasse fixe partout où une valeur change en direct, pour éviter que l'affichage ne tressaute.</t>
  </si>
  <si>
    <t>EX-114</t>
  </si>
  <si>
    <t>Les icônes viennent du jeu du système.</t>
  </si>
  <si>
    <t>SF Symbols uniquement, sans image importée hormis l'icône de l'application.</t>
  </si>
  <si>
    <t>EX-115</t>
  </si>
  <si>
    <t>Les boutons sont des boutons standard.</t>
  </si>
  <si>
    <t>Styles proéminent et bordé du système, tailles de contrôle standard. Aucun bouton dessiné à la main.</t>
  </si>
  <si>
    <t>EX-116</t>
  </si>
  <si>
    <t>Les tailles de texte dynamiques sont respectées.</t>
  </si>
  <si>
    <t>Mise en page tenable des plus petites tailles aux grandes tailles d'accessibilité.</t>
  </si>
  <si>
    <t>EX-117</t>
  </si>
  <si>
    <t>Le sens d'une information n'est jamais porté par la couleur seule.</t>
  </si>
  <si>
    <t>L'avance et le retard se lisent d'abord à la position sur le graphe. La couleur ne fait que doubler l'information. Vérifiable en simulant un daltonisme.</t>
  </si>
  <si>
    <t>EX-118</t>
  </si>
  <si>
    <t>Le réglage système « Réduire les animations » est respecté.</t>
  </si>
  <si>
    <t>Pulsations et transitions supprimées, information complète conservée.</t>
  </si>
  <si>
    <t>EX-096</t>
  </si>
  <si>
    <t>Organisation</t>
  </si>
  <si>
    <t>Je veux séparer ce que je touche en jouant de ce que je règle une fois.</t>
  </si>
  <si>
    <t>Sur l'écran de mesure : tempo, clic, volume, marche/arrêt. Derrière un bouton d'engrenage : clavier, alignement, tolérance, effacement des statistiques. La feuille de réglages est une feuille modale standard, refermable d'un geste.</t>
  </si>
  <si>
    <t>EX-097</t>
  </si>
  <si>
    <t>Les explications vivent dans les réglages, pas sur l'écran de mesure.</t>
  </si>
  <si>
    <t>Chaque section de réglage porte une note explicative en bas de section. L'écran de mesure ne contient aucun texte d'aide.</t>
  </si>
  <si>
    <t>EX-010</t>
  </si>
  <si>
    <t>Entrée MIDI</t>
  </si>
  <si>
    <t>L'entrée se fait exclusivement par MIDI. Le micro n'est pas utilisé.</t>
  </si>
  <si>
    <t>Aucune permission micro demandée par l'application.</t>
  </si>
  <si>
    <t>EX-012</t>
  </si>
  <si>
    <t>Je vois la liste des claviers disponibles et j'en choisis un.</t>
  </si>
  <si>
    <t>Sélecteur dans les réglages, avec le nom lisible de chaque source.</t>
  </si>
  <si>
    <t>1re source</t>
  </si>
  <si>
    <t>EX-016</t>
  </si>
  <si>
    <t>Seules mes frappes réelles sont comptées.</t>
  </si>
  <si>
    <t>Note On de vélocité non nulle uniquement. Note Off, pédale (CC64), aftertouch, pitch bend et messages système ignorés.</t>
  </si>
  <si>
    <t>EX-019</t>
  </si>
  <si>
    <t>Un témoin me confirme que l'application reçoit bien mon clavier, même métronome à l'arrêt.</t>
  </si>
  <si>
    <t>Nom de la dernière note reçue, visible sur l'écran et dans les réglages.</t>
  </si>
  <si>
    <t>EX-020</t>
  </si>
  <si>
    <t>Si ma source est en Bluetooth, je veux être prévenu que la mesure en pâtit.</t>
  </si>
  <si>
    <t>Avertissement dans les réglages quand la source active est en Bluetooth, précisant que la moyenne est faussée mais que la régularité reste exacte.</t>
  </si>
  <si>
    <t>EX-011</t>
  </si>
  <si>
    <t>Je veux pouvoir brancher le clavier des trois façons : USB, Bluetooth, MIDI réseau.</t>
  </si>
  <si>
    <t>Les trois transports fonctionnent à l'identique.</t>
  </si>
  <si>
    <t>EX-013</t>
  </si>
  <si>
    <t>L'application retient le dernier clavier et s'y reconnecte seule.</t>
  </si>
  <si>
    <t>Au lancement suivant, le même clavier est sélectionné sans intervention.</t>
  </si>
  <si>
    <t>2</t>
  </si>
  <si>
    <t>EX-014</t>
  </si>
  <si>
    <t>Brancher ou débrancher un clavier est pris en compte sans redémarrer.</t>
  </si>
  <si>
    <t>Liste mise à jour à chaud ; déconnexion en séance signalée.</t>
  </si>
  <si>
    <t>EX-015</t>
  </si>
  <si>
    <t>Je peux appairer un clavier Bluetooth depuis l'application.</t>
  </si>
  <si>
    <t>Écran d'appairage intégré, sans passer par les réglages iOS.</t>
  </si>
  <si>
    <t>Souhaitable</t>
  </si>
  <si>
    <t>EX-017</t>
  </si>
  <si>
    <t>Je peux restreindre la mesure à un canal MIDI.</t>
  </si>
  <si>
    <t>Choix « tous » ou 1 à 16.</t>
  </si>
  <si>
    <t>Tous</t>
  </si>
  <si>
    <t>EX-018</t>
  </si>
  <si>
    <t>Je peux ignorer les frappes trop légères.</t>
  </si>
  <si>
    <t>Seuil de vélocité minimale réglable.</t>
  </si>
  <si>
    <t>EX-030</t>
  </si>
  <si>
    <t>Mesure</t>
  </si>
  <si>
    <t>La date d'une note est celle où le système l'a reçue, pas celle où l'application la traite.</t>
  </si>
  <si>
    <t>Horodatage du paquet CoreMIDI, converti en secondes dans une base de temps unique partagée avec le moteur audio.</t>
  </si>
  <si>
    <t>EX-031</t>
  </si>
  <si>
    <t>La mesure doit être précise à mieux que 2 ms, hors retard du transport MIDI.</t>
  </si>
  <si>
    <t>Vérifié par injection de messages à intervalles connus.</t>
  </si>
  <si>
    <t>&lt; 2 ms</t>
  </si>
  <si>
    <t>EX-032</t>
  </si>
  <si>
    <t>Chaque note est comparée au point de grille le plus proche.</t>
  </si>
  <si>
    <t>L'écart ne peut jamais dépasser une demi-période de grille.</t>
  </si>
  <si>
    <t>EX-033</t>
  </si>
  <si>
    <t>L'écart est signé et lisible sans réfléchir : négatif en avance, positif en retard.</t>
  </si>
  <si>
    <t>Millisecondes entières, signe explicite, doublé d'un mot en toutes lettres.</t>
  </si>
  <si>
    <t>ms entiers</t>
  </si>
  <si>
    <t>EX-034</t>
  </si>
  <si>
    <t>Le clic doit être ENTENDU sur le temps, pas seulement programmé sur le temps.</t>
  </si>
  <si>
    <t>Le retard de sortie audio est mesuré au démarrage et compensé automatiquement.</t>
  </si>
  <si>
    <t>auto</t>
  </si>
  <si>
    <t>EX-035</t>
  </si>
  <si>
    <t>Je peux corriger cet alignement à la main.</t>
  </si>
  <si>
    <t>Curseur de ±60 ms au pas de 1 ms, s'ajoutant à la compensation automatique.</t>
  </si>
  <si>
    <t>0 ms</t>
  </si>
  <si>
    <t>EX-038</t>
  </si>
  <si>
    <t>Je dois pouvoir vérifier que l'alignement est juste autrement que par mon ressenti.</t>
  </si>
  <si>
    <t>Protocole documenté dans les réglages : on ne calibre pas sur sa propre perception, puisqu'on anticipe naturellement de 10 à 20 ms.</t>
  </si>
  <si>
    <t>EX-036</t>
  </si>
  <si>
    <t>Les notes d'un même accord ne doivent pas compter comme plusieurs erreurs.</t>
  </si>
  <si>
    <t>Regroupement dans une fenêtre courte, daté sur la première note.</t>
  </si>
  <si>
    <t>30 ms</t>
  </si>
  <si>
    <t>EX-037</t>
  </si>
  <si>
    <t>Pour un accord, je veux savoir s'il est « ensemble ».</t>
  </si>
  <si>
    <t>Affichage de l'étalement du groupe.</t>
  </si>
  <si>
    <t>EX-040</t>
  </si>
  <si>
    <t>Métronome</t>
  </si>
  <si>
    <t>Tempo réglable sur toute la plage de travail utile.</t>
  </si>
  <si>
    <t>De 30 à 240 à la noire, au pas de 1, réglable au bouton comme au curseur.</t>
  </si>
  <si>
    <t>80 bpm</t>
  </si>
  <si>
    <t>EX-043</t>
  </si>
  <si>
    <t>Le clic peut être coupé, et son volume réglé indépendamment du volume système.</t>
  </si>
  <si>
    <t>Interrupteur et curseur sur l'écran de mesure.</t>
  </si>
  <si>
    <t>activé, 50 %</t>
  </si>
  <si>
    <t>EX-047</t>
  </si>
  <si>
    <t>Le métronome doit être stable dans la durée.</t>
  </si>
  <si>
    <t>Cadencé sur l'horloge audio, pas sur un timer système. Dérive inférieure à 1 ms sur 10 minutes.</t>
  </si>
  <si>
    <t>EX-048</t>
  </si>
  <si>
    <t>Je peux changer le tempo en pleine séance sans tout arrêter.</t>
  </si>
  <si>
    <t>La grille se réancre proprement, sans note faussement comptée à la transition.</t>
  </si>
  <si>
    <t>EX-052</t>
  </si>
  <si>
    <t>Je veux vérifier que la sortie audio fonctionne sans lancer une séance.</t>
  </si>
  <si>
    <t>Bouton produisant un clic isolé. Toute erreur de la chaîne audio est affichée, jamais avalée en silence.</t>
  </si>
  <si>
    <t>EX-041</t>
  </si>
  <si>
    <t>Je choisis la finesse de la grille sur laquelle mes notes sont jugées.</t>
  </si>
  <si>
    <t>Noires, croches, triolets, doubles-croches.</t>
  </si>
  <si>
    <t>Noires</t>
  </si>
  <si>
    <t>EX-042</t>
  </si>
  <si>
    <t>Je règle le nombre de temps par mesure, avec accent sur le premier.</t>
  </si>
  <si>
    <t>De 2 à 12 temps, ou aucun accent.</t>
  </si>
  <si>
    <t>4</t>
  </si>
  <si>
    <t>EX-044</t>
  </si>
  <si>
    <t>Les subdivisions peuvent être cliquées ou rester silencieuses.</t>
  </si>
  <si>
    <t>Interrupteur séparé.</t>
  </si>
  <si>
    <t>désactivé</t>
  </si>
  <si>
    <t>EX-049</t>
  </si>
  <si>
    <t>Un décompte avant que la mesure ne commence.</t>
  </si>
  <si>
    <t>Une mesure à vide, notes non comptabilisées.</t>
  </si>
  <si>
    <t>1 mesure</t>
  </si>
  <si>
    <t>EX-050</t>
  </si>
  <si>
    <t>Une notification ou un appel ne doit pas casser la séance silencieusement.</t>
  </si>
  <si>
    <t>Interruptions audio gérées ; reprise ou arrêt signalé.</t>
  </si>
  <si>
    <t>EX-051</t>
  </si>
  <si>
    <t>Je veux choisir le son du clic parmi plusieurs timbres.</t>
  </si>
  <si>
    <t>Cinq timbres inspirés du kit de percussions General MIDI, avec écoute au changement.</t>
  </si>
  <si>
    <t>Claves</t>
  </si>
  <si>
    <t>EX-053</t>
  </si>
  <si>
    <t>Je veux que le métronome démarre sur le Start de la boîte à rythmes de mon clavier.</t>
  </si>
  <si>
    <t>Les messages MIDI temps réel Start, Continue et Stop pilotent le métronome. La grille est ancrée exactement sur l'instant du message reçu, et non sur l'instant de traitement. Un témoin indique à l'écran si l'application attend le départ ou si elle est synchronisée.</t>
  </si>
  <si>
    <t>3</t>
  </si>
  <si>
    <t>sert surtout à régler l'alignement à l'oreille contre une référence matérielle</t>
  </si>
  <si>
    <t>EX-054</t>
  </si>
  <si>
    <t>Quand je suis synchronisé, je veux que le tempo suive celui du clavier et ne dérive pas.</t>
  </si>
  <si>
    <t>Suivi de l'horloge MIDI (24 impulsions par noire). Période lissée et phase corrigée par un décalage d'ancrage borné, sans rupture de grille. Le tempo reçu est affiché à la place du tempo réglé, qui ne fait plus foi. Se désactive avec le démarrage synchronisé.</t>
  </si>
  <si>
    <t>sans lui, Start donne le départ mais pas le tempo : la dérive est inévitable</t>
  </si>
  <si>
    <t>EX-060</t>
  </si>
  <si>
    <t>Visualisation</t>
  </si>
  <si>
    <t>Une ligne verticale centrale représente le battement, en permanence.</t>
  </si>
  <si>
    <t>Ligne continue traversant toute la zone de mesure.</t>
  </si>
  <si>
    <t>EX-061</t>
  </si>
  <si>
    <t>Le temps défile verticalement : les notes apparaissent en haut et descendent.</t>
  </si>
  <si>
    <t>Vitesse constante, environ 6 secondes d'historique visible.</t>
  </si>
  <si>
    <t>6 s</t>
  </si>
  <si>
    <t>EX-062</t>
  </si>
  <si>
    <t>Chaque note est placée horizontalement en proportion de son écart.</t>
  </si>
  <si>
    <t>Position proportionnelle, saturée aux bords plutôt que masquée.</t>
  </si>
  <si>
    <t>EX-063</t>
  </si>
  <si>
    <t>Une bande matérialise la zone que je considère comme « dans le temps ».</t>
  </si>
  <si>
    <t>Largeur réglable, visible en permanence de part et d'autre de la ligne.</t>
  </si>
  <si>
    <t>± 20 ms</t>
  </si>
  <si>
    <t>EX-066</t>
  </si>
  <si>
    <t>Un affichage instantané en gros caractères donne l'écart de la dernière note.</t>
  </si>
  <si>
    <t>Valeur en millisecondes plus un mot. Lisible à un mètre depuis le pupitre.</t>
  </si>
  <si>
    <t>EX-068</t>
  </si>
  <si>
    <t>Les temps du métronome défilent aussi, pour situer chaque note.</t>
  </si>
  <si>
    <t>Repère horizontal à chaque temps.</t>
  </si>
  <si>
    <t>EX-069</t>
  </si>
  <si>
    <t>Le défilement doit être parfaitement fluide, sinon je ne peux pas m'y fier.</t>
  </si>
  <si>
    <t>Suit le rafraîchissement de l'écran, sans saccade sur une séance de 45 minutes.</t>
  </si>
  <si>
    <t>60 / 120 fps</t>
  </si>
  <si>
    <t>EX-072</t>
  </si>
  <si>
    <t>Je veux un mode où je ne vois que la mesure, sans réglages ni statistiques.</t>
  </si>
  <si>
    <t>Un appui sur la zone de mesure masque tout le reste, barre d'état comprise. Même vue de mesure dans les deux modes, jamais une seconde implémentation.</t>
  </si>
  <si>
    <t>EX-065</t>
  </si>
  <si>
    <t>La force de frappe est visible sur le graphe.</t>
  </si>
  <si>
    <t>Taille du repère proportionnelle à la vélocité.</t>
  </si>
  <si>
    <t>EX-067</t>
  </si>
  <si>
    <t>Je règle l'échelle horizontale selon mon niveau du jour.</t>
  </si>
  <si>
    <t>De ±40 ms à ±300 ms.</t>
  </si>
  <si>
    <t>± 120 ms</t>
  </si>
  <si>
    <t>EX-071</t>
  </si>
  <si>
    <t>Je veux voir ma tendance sur le graphe, pas seulement en chiffre.</t>
  </si>
  <si>
    <t>Repère à la position de la moyenne glissante.</t>
  </si>
  <si>
    <t>EX-080</t>
  </si>
  <si>
    <t>Statistiques</t>
  </si>
  <si>
    <t>Je veux savoir combien de notes ont été mesurées.</t>
  </si>
  <si>
    <t>Compteur visible en permanence.</t>
  </si>
  <si>
    <t>EX-081</t>
  </si>
  <si>
    <t>Je veux connaître mon biais : est-ce que je traîne ou est-ce que je précipite ?</t>
  </si>
  <si>
    <t>Écart moyen signé, en millisecondes avec une décimale, unité affichée à côté de la valeur.</t>
  </si>
  <si>
    <t>EX-082</t>
  </si>
  <si>
    <t>Je veux connaître ma régularité, et savoir d'un coup d'œil si elle est acceptable.</t>
  </si>
  <si>
    <t>Écart-type en millisecondes, doublé du pourcentage de l'intervalle pour être comparable d'un tempo à l'autre. Couleur de validation tant que la dispersion reste acceptable, couleur d'alerte au-delà : seuil au plus permissif entre 5 % de l'intervalle et 15 ms.</t>
  </si>
  <si>
    <t>5 % ou 15 ms</t>
  </si>
  <si>
    <t>EX-083</t>
  </si>
  <si>
    <t>Je veux la proportion de notes tombées dans ma zone de tolérance.</t>
  </si>
  <si>
    <t>Pourcentage entier, recalculé si la tolérance change.</t>
  </si>
  <si>
    <t>EX-085</t>
  </si>
  <si>
    <t>Je remets les compteurs à zéro d'un seul geste.</t>
  </si>
  <si>
    <t>Action dans les réglages, avec confirmation. Le métronome n'est pas arrêté.</t>
  </si>
  <si>
    <t>EX-084</t>
  </si>
  <si>
    <t>Les statistiques ne doivent pas rester plombées par mes premières notes.</t>
  </si>
  <si>
    <t>Fenêtre glissante sur les N dernières notes, N réglable.</t>
  </si>
  <si>
    <t>200 notes</t>
  </si>
  <si>
    <t>EX-089</t>
  </si>
  <si>
    <t>Je veux un retour immédiat sur mes toutes dernières notes.</t>
  </si>
  <si>
    <t>Moyenne glissante des X dernières notes, X réglable de 4 à 32.</t>
  </si>
  <si>
    <t>8 notes</t>
  </si>
  <si>
    <t>EX-086</t>
  </si>
  <si>
    <t>À la fin d'une séance je veux un résumé.</t>
  </si>
  <si>
    <t>Durée, tempo, notes, moyenne, écart-type, pourcentage dans la zone.</t>
  </si>
  <si>
    <t>EX-087</t>
  </si>
  <si>
    <t>L'historique des séances est conservé pour que je puisse me comparer.</t>
  </si>
  <si>
    <t>Liste des séances passées, stockée localement.</t>
  </si>
  <si>
    <t>EX-088</t>
  </si>
  <si>
    <t>Je peux sortir mes données brutes pour les analyser ailleurs.</t>
  </si>
  <si>
    <t>Export CSV.</t>
  </si>
  <si>
    <t>EX-090</t>
  </si>
  <si>
    <t>Ergonomie</t>
  </si>
  <si>
    <t>L'écran ne doit pas s'éteindre pendant que je joue.</t>
  </si>
  <si>
    <t>Veille désactivée pendant une séance, réactivée à l'arrêt.</t>
  </si>
  <si>
    <t>EX-091</t>
  </si>
  <si>
    <t>Démarrer et arrêter doit se faire d'un seul geste, sans regarder.</t>
  </si>
  <si>
    <t>Bouton atteignable au pouce, zone tactile large, présent dans les deux modes d'affichage.</t>
  </si>
  <si>
    <t>EX-093</t>
  </si>
  <si>
    <t>Mes réglages sont mémorisés d'une séance à l'autre.</t>
  </si>
  <si>
    <t>Tempo, clic, volume, alignement, tolérance et clavier restaurés au lancement.</t>
  </si>
  <si>
    <t>EX-100</t>
  </si>
  <si>
    <t>Non fonctionnel</t>
  </si>
  <si>
    <t>Ce que je vois à l'écran doit suivre ma frappe sans décalage perceptible.</t>
  </si>
  <si>
    <t>Moins de 50 ms entre la réception du message MIDI et l'apparition du repère.</t>
  </si>
  <si>
    <t>&lt; 50 ms</t>
  </si>
  <si>
    <t>EX-102</t>
  </si>
  <si>
    <t>Aucune donnée personnelle collectée, aucun outil de mesure d'audience.</t>
  </si>
  <si>
    <t>Aucun composant tiers d'analyse ni de publicité dans le projet.</t>
  </si>
  <si>
    <t>EX-101</t>
  </si>
  <si>
    <t>Une séance d'une heure ne doit pas vider ma batterie.</t>
  </si>
  <si>
    <t>Moins de 15 % par heure, écran allumé. À mesurer : le thème clair consomme davantage sur écran OLED.</t>
  </si>
  <si>
    <t>&lt; 15 %/h</t>
  </si>
  <si>
    <t>EX-103</t>
  </si>
  <si>
    <t>L'application doit être prête à mesurer presque immédiatement.</t>
  </si>
  <si>
    <t>Lancement en moins de 2 s, prête en moins de 5 s.</t>
  </si>
  <si>
    <t>EX-120</t>
  </si>
  <si>
    <t>Publication</t>
  </si>
  <si>
    <t>Je dois pouvoir installer l'application sur mon téléphone sans passer par l'App Store.</t>
  </si>
  <si>
    <t>Distribution par TestFlight ou compilation directe depuis Xcode.</t>
  </si>
  <si>
    <t>EX-121</t>
  </si>
  <si>
    <t>L'icône respecte les contraintes d'Apple.</t>
  </si>
  <si>
    <t>1024×1024, sans canal alpha, coins carrés — iOS applique son propre masque.</t>
  </si>
  <si>
    <t>EX-122</t>
  </si>
  <si>
    <t>L'application doit passer la revue de l'App Store sans reprise d'interface.</t>
  </si>
  <si>
    <t>Aucun écart notable aux conventions du système : navigation, contrôles, accessibilité, absence de fonction cachée.</t>
  </si>
  <si>
    <t>EX-123</t>
  </si>
  <si>
    <t>La fiche de collecte de données doit pouvoir être remplie honnêtement à « aucune ».</t>
  </si>
  <si>
    <t>Aucune donnée ne quitte l'appareil, ce qui doit rester vrai à chaque évolution.</t>
  </si>
  <si>
    <t>aucune</t>
  </si>
  <si>
    <t>EX-124</t>
  </si>
  <si>
    <t>Une politique de confidentialité, même minimale, doit exister.</t>
  </si>
  <si>
    <t>Page publique indiquant qu'aucune donnée n'est collectée.</t>
  </si>
  <si>
    <t>Paramètre</t>
  </si>
  <si>
    <t>Défaut</t>
  </si>
  <si>
    <t>Min</t>
  </si>
  <si>
    <t>Max</t>
  </si>
  <si>
    <t>Unité</t>
  </si>
  <si>
    <t>Où il se règle</t>
  </si>
  <si>
    <t>Exigence</t>
  </si>
  <si>
    <t>Tempo</t>
  </si>
  <si>
    <t>80</t>
  </si>
  <si>
    <t>30</t>
  </si>
  <si>
    <t>240</t>
  </si>
  <si>
    <t>bpm</t>
  </si>
  <si>
    <t>écran de mesure</t>
  </si>
  <si>
    <t>Clic audible</t>
  </si>
  <si>
    <t>activé</t>
  </si>
  <si>
    <t>Volume du clic</t>
  </si>
  <si>
    <t>50</t>
  </si>
  <si>
    <t>0</t>
  </si>
  <si>
    <t>100</t>
  </si>
  <si>
    <t>%</t>
  </si>
  <si>
    <t>Correction d'alignement</t>
  </si>
  <si>
    <t>-60</t>
  </si>
  <si>
    <t>+60</t>
  </si>
  <si>
    <t>ms</t>
  </si>
  <si>
    <t>réglages</t>
  </si>
  <si>
    <t>s'ajoute à la compensation automatique</t>
  </si>
  <si>
    <t>Zone « juste »</t>
  </si>
  <si>
    <t>± 20</t>
  </si>
  <si>
    <t>± 5</t>
  </si>
  <si>
    <t>± 60</t>
  </si>
  <si>
    <t>20 ms est le seuil courant de perception d'un décalage</t>
  </si>
  <si>
    <t>Échelle horizontale</t>
  </si>
  <si>
    <t>± 120</t>
  </si>
  <si>
    <t>fixe en phase 1</t>
  </si>
  <si>
    <t>deviendra réglable en phase 2</t>
  </si>
  <si>
    <t>Profondeur d'historique</t>
  </si>
  <si>
    <t>6</t>
  </si>
  <si>
    <t>s</t>
  </si>
  <si>
    <t>fixe</t>
  </si>
  <si>
    <t>détermine la vitesse de défilement</t>
  </si>
  <si>
    <t>Seuil de régularité</t>
  </si>
  <si>
    <t>5</t>
  </si>
  <si>
    <t>% intervalle</t>
  </si>
  <si>
    <t>au-delà, l'affichage passe en couleur d'alerte</t>
  </si>
  <si>
    <t>Plancher de régularité</t>
  </si>
  <si>
    <t>15</t>
  </si>
  <si>
    <t>prend le relais aux tempos rapides, où un pourcentage seul serait hors d'atteinte</t>
  </si>
  <si>
    <t>Démarrage synchronisé</t>
  </si>
  <si>
    <t>Suivi de l'horloge MIDI</t>
  </si>
  <si>
    <t>exige que le clavier émette du MIDI Clock ; certains n'envoient que Start et Stop</t>
  </si>
  <si>
    <t>Sujet</t>
  </si>
  <si>
    <t>Constat</t>
  </si>
  <si>
    <t>Décision</t>
  </si>
  <si>
    <t>Ce qui arrive si on l'ignore</t>
  </si>
  <si>
    <t>Identité graphique propre</t>
  </si>
  <si>
    <t>La première version portait une palette inventée, des polices importées et des cadres dessinés à la main. Cela se voit immédiatement.</t>
  </si>
  <si>
    <t>Abandonnée. Vocabulaire visuel du système uniquement. Les couleurs sémantiques s'adaptent seules au thème, au contraste renforcé et aux réglages d'accessibilité — ce qu'une palette figée ne peut pas faire.</t>
  </si>
  <si>
    <t>Une application qui détonne sur le téléphone, et un handicap à la revue App Store.</t>
  </si>
  <si>
    <t>Web MIDI absent d'iOS</t>
  </si>
  <si>
    <t>Safari sur iPhone n'implémente pas Web MIDI.</t>
  </si>
  <si>
    <t>Application native, MIDI par CoreMIDI.</t>
  </si>
  <si>
    <t>Le besoin est irréalisable sur iPhone.</t>
  </si>
  <si>
    <t>Micro comme source</t>
  </si>
  <si>
    <t>Détection d'attaque peu fiable, et latence d'entrée inconnue de 20 à 80 ms qui fausse la grandeur mesurée.</t>
  </si>
  <si>
    <t>Écarté. MIDI uniquement.</t>
  </si>
  <si>
    <t>Des chiffres faux d'un ordre de grandeur comparable à ce qu'on mesure.</t>
  </si>
  <si>
    <t>Programmation du clic</t>
  </si>
  <si>
    <t>AVAudioPlayerNode.scheduleBuffer exige lastRenderTime, qui n'existe qu'une fois le nœud en train de rendre — ce qui n'arrive que si un buffer lui a été programmé.</t>
  </si>
  <si>
    <t>Blocage circulaire. Remplacé par AVAudioSourceNode : un callback de rendu qui tient son propre compteur d'échantillons et ne décroche jamais entre deux clics.</t>
  </si>
  <si>
    <t>Un métronome totalement muet, sans erreur ni message.</t>
  </si>
  <si>
    <t>Défilement saccadé</t>
  </si>
  <si>
    <t>Le graphe ne se redessinait qu'une fois par temps au lieu de suivre le rafraîchissement de l'écran.</t>
  </si>
  <si>
    <t>Le contenu d'une vue temporelle doit dépendre de la date qu'elle fournit, sinon SwiftUI le juge invariant. Calculer l'instant hors du rendu, pas dedans.</t>
  </si>
  <si>
    <t>Un défilement inutilisable, et aucun avertissement du compilateur.</t>
  </si>
  <si>
    <t>Échecs silencieux</t>
  </si>
  <si>
    <t>Plusieurs défauts se sont manifestés par une absence totale d'effet : clic muet, image figée. Aucun message nulle part.</t>
  </si>
  <si>
    <t>Tout chemin d'erreur remonte un message à l'écran. Aucun bloc de rattrapage vide. Un bouton de test par sous-système.</t>
  </si>
  <si>
    <t>Des heures de recherche sur un symptôme qui ne dit rien.</t>
  </si>
  <si>
    <t>Casque sans fil</t>
  </si>
  <si>
    <t>Une sortie Bluetooth ajoute plus de 150 ms. Le joueur se cale sur ce qu'il entend.</t>
  </si>
  <si>
    <t>Compensation automatique, plus avertissement explicite au-delà de 60 ms.</t>
  </si>
  <si>
    <t>Tout paraît en retard, et la correction du jeu part dans le mauvais sens.</t>
  </si>
  <si>
    <t>Calibration sur le ressenti</t>
  </si>
  <si>
    <t>La tentation est de régler l'alignement pour que l'application affiche zéro quand on se sent juste.</t>
  </si>
  <si>
    <t>Proscrit, et expliqué dans les réglages : on anticipe naturellement de 10 à 20 ms. Calibrer ainsi inscrit son propre défaut dans le zéro de l'appareil.</t>
  </si>
  <si>
    <t>Un instrument incapable de contredire son utilisateur, donc inutile.</t>
  </si>
  <si>
    <t>Bluetooth MIDI</t>
  </si>
  <si>
    <t>Ajoute 10 à 20 ms et une gigue variable selon le clavier.</t>
  </si>
  <si>
    <t>Toléré, mais avertissement affiché quand la source active est en Bluetooth. L'USB reste recommandé pour la mesure.</t>
  </si>
  <si>
    <t>Un biais attribué au jeu alors qu'il vient du transport.</t>
  </si>
  <si>
    <t>Horodatage MIDI à zéro</t>
  </si>
  <si>
    <t>Certains pilotes transmettent un horodatage nul, qui signifie « maintenant ».</t>
  </si>
  <si>
    <t>Repli sur l'heure courante, avec mention que la précision est dégradée.</t>
  </si>
  <si>
    <t>Précision silencieusement perdue.</t>
  </si>
  <si>
    <t>Vibration sur note juste</t>
  </si>
  <si>
    <t>Envisagée pour sentir qu'une note est tombée dans la tolérance. Développée puis retirée.</t>
  </si>
  <si>
    <t>Écartée : la justesse rythmique est une perception auditive. Une vibration arrive après la note et ne dit pas de combien on était à côté.</t>
  </si>
  <si>
    <t>Une fonction construite, testée et abandonnée après coup.</t>
  </si>
  <si>
    <t>Portrait inversé</t>
  </si>
  <si>
    <t>Souhaité pour poser le téléphone câble vers le haut. iOS le refuse sur tous les iPhone à Face ID, quoi qu'on déclare dans la cible.</t>
  </si>
  <si>
    <t>Écarté. La rotation logicielle fonctionne mais les menus système ne tournent pas avec. La réponse est matérielle : un adaptateur USB coudé.</t>
  </si>
  <si>
    <t>Du temps passé sur un réglage sans effet sur le matériel visé.</t>
  </si>
  <si>
    <t>Thème clair et batterie</t>
  </si>
  <si>
    <t>Un fond clair consomme davantage sur écran OLED qu'un fond sombre.</t>
  </si>
  <si>
    <t>Le thème suit le réglage système, sans imposition. À mesurer sur une séance réelle contre l'objectif de 15 % par heure.</t>
  </si>
  <si>
    <t>Un objectif de consommation manqué sans qu'on sache pourquoi.</t>
  </si>
  <si>
    <t>Pédale de sustain</t>
  </si>
  <si>
    <t>La pédale génère du trafic MIDI qui n'est pas une frappe.</t>
  </si>
  <si>
    <t>CC64 ignoré. Hors périmètre.</t>
  </si>
  <si>
    <t>Des notes fantômes comptées comme des erreurs de placement.</t>
  </si>
  <si>
    <t>Start sans horloge</t>
  </si>
  <si>
    <t>Le message Start donne l'instant de départ, jamais le tempo. Deux horloges à 80,0 et 80,3 bpm dérivent d'une seconde en trois minutes.</t>
  </si>
  <si>
    <t>Le suivi de l'horloge MIDI est proposé séparément. Sans lui, la synchronisation ne vaut que pour quelques dizaines de secondes — ce qui suffit à régler l'alignement, mais pas à travailler.</t>
  </si>
  <si>
    <t>Une dérive lente attribuée au jeu alors qu'elle vient des deux horloges.</t>
  </si>
  <si>
    <t>Recalage brutal sur l'horloge</t>
  </si>
  <si>
    <t>Réancrer la grille à chaque noire reçue fait sauter ou doubler un clic.</t>
  </si>
  <si>
    <t>Période et phase corrigées séparément : période lissée, phase décalée d'au plus 20 ms par ancrage. Les intervalles hors de 20 à 300 bpm sont ignorés comme du bruit.</t>
  </si>
  <si>
    <t>Un métronome qui bafouille à chaque battement.</t>
  </si>
  <si>
    <t>Résidu de balayage clavier</t>
  </si>
  <si>
    <t>Aligner à l'oreille sur la boîte à rythmes annule la différence entre les chaînes audio, mais pas le délai entre l'enfoncement de la touche et l'émission du note-on.</t>
  </si>
  <si>
    <t>Résidu accepté : 3 à 10 ms selon le clavier, non mesurable sans instrumentation externe.</t>
  </si>
  <si>
    <t>Une confiance excessive dans un zéro qui reste légèrement décalé.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</si>
</sst>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7"/>
      <color rgb="FF1F3B4D"/>
      <name val="Arial"/>
      <family val="2"/>
    </font>
    <font>
      <i/>
      <sz val="10"/>
      <color rgb="FF5A6B78"/>
      <name val="Arial"/>
      <family val="2"/>
    </font>
    <font>
      <b/>
      <sz val="11.5"/>
      <color rgb="FF1F3B4D"/>
      <name val="Arial"/>
      <family val="2"/>
    </font>
    <font>
      <sz val="10.5"/>
      <color rgb="FF222222"/>
      <name val="Arial"/>
      <family val="2"/>
    </font>
    <font>
      <sz val="10.5"/>
      <name val="Arial"/>
      <family val="2"/>
    </font>
    <font>
      <b/>
      <sz val="10.5"/>
      <color rgb="FF1F3B4D"/>
      <name val="Arial"/>
      <family val="2"/>
    </font>
    <font>
      <b/>
      <sz val="10"/>
      <color rgb="FFFFFFFF"/>
      <name val="Arial"/>
      <family val="2"/>
    </font>
    <font>
      <i/>
      <sz val="9.5"/>
      <color rgb="FF8A8A8A"/>
      <name val="Arial"/>
      <family val="2"/>
    </font>
    <font>
      <sz val="9.5"/>
      <color rgb="FF222222"/>
      <name val="Arial"/>
      <family val="2"/>
    </font>
    <font>
      <b/>
      <sz val="9.5"/>
      <color rgb="FF3D6B2E"/>
      <name val="Arial"/>
      <family val="2"/>
    </font>
    <font>
      <b/>
      <sz val="9.5"/>
      <color rgb="FF777777"/>
      <name val="Arial"/>
      <family val="2"/>
    </font>
    <font>
      <sz val="9.5"/>
      <color rgb="FF222222"/>
      <name val="Arial"/>
      <family val="2"/>
      <charset val="1"/>
    </font>
  </fonts>
  <fills count="11">
    <fill>
      <patternFill patternType="none"/>
    </fill>
    <fill>
      <patternFill patternType="gray125"/>
    </fill>
    <fill>
      <patternFill patternType="solid">
        <fgColor rgb="FF1F3B4D"/>
        <bgColor rgb="FF003366"/>
      </patternFill>
    </fill>
    <fill>
      <patternFill patternType="solid">
        <fgColor rgb="FFF7F7F7"/>
        <bgColor rgb="FFF2F5F7"/>
      </patternFill>
    </fill>
    <fill>
      <patternFill patternType="solid">
        <fgColor rgb="FFF2F5F7"/>
        <bgColor rgb="FFF7F7F7"/>
      </patternFill>
    </fill>
    <fill>
      <patternFill patternType="solid">
        <fgColor rgb="FFF6DCDB"/>
        <bgColor rgb="FFE4E4E4"/>
      </patternFill>
    </fill>
    <fill>
      <patternFill patternType="solid">
        <fgColor rgb="FFDCE9D5"/>
        <bgColor rgb="FFE4E4E4"/>
      </patternFill>
    </fill>
    <fill>
      <patternFill patternType="solid">
        <fgColor rgb="FFFFF7CC"/>
        <bgColor rgb="FFFCEBD8"/>
      </patternFill>
    </fill>
    <fill>
      <patternFill patternType="solid">
        <fgColor rgb="FFFCEBD8"/>
        <bgColor rgb="FFFFF7CC"/>
      </patternFill>
    </fill>
    <fill>
      <patternFill patternType="solid">
        <fgColor rgb="FFE4E4E4"/>
        <bgColor rgb="FFDCE9D5"/>
      </patternFill>
    </fill>
    <fill>
      <patternFill patternType="solid">
        <fgColor rgb="FFE7EFDC"/>
        <bgColor rgb="FFDCE9D5"/>
      </patternFill>
    </fill>
  </fills>
  <borders count="5">
    <border>
      <left/>
      <right/>
      <top/>
      <bottom/>
      <diagonal/>
    </border>
    <border>
      <left style="thin">
        <color rgb="FFBFC9D1"/>
      </left>
      <right style="thin">
        <color rgb="FFBFC9D1"/>
      </right>
      <top style="thin">
        <color rgb="FFBFC9D1"/>
      </top>
      <bottom style="thin">
        <color rgb="FFBFC9D1"/>
      </bottom>
      <diagonal/>
    </border>
    <border>
      <left style="thin">
        <color indexed="64"/>
      </left>
      <right style="thin">
        <color indexed="64"/>
      </right>
      <top style="thin">
        <color indexed="64"/>
      </top>
      <bottom style="thin">
        <color indexed="64"/>
      </bottom>
      <diagonal/>
    </border>
    <border>
      <left style="thin">
        <color rgb="FFBFC9D1"/>
      </left>
      <right style="thin">
        <color rgb="FFBFC9D1"/>
      </right>
      <top style="thin">
        <color rgb="FFBFC9D1"/>
      </top>
      <bottom/>
      <diagonal/>
    </border>
    <border>
      <left style="thin">
        <color rgb="FFBFC9D1"/>
      </left>
      <right style="thin">
        <color rgb="FFBFC9D1"/>
      </right>
      <top/>
      <bottom style="thin">
        <color rgb="FFBFC9D1"/>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1" xfId="0" applyFont="1" applyBorder="1" applyAlignment="1">
      <alignment horizontal="center"/>
    </xf>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top" wrapText="1"/>
    </xf>
    <xf numFmtId="0" fontId="8" fillId="3" borderId="1" xfId="0" applyFont="1" applyFill="1" applyBorder="1" applyAlignment="1">
      <alignment horizontal="left" vertical="top" wrapText="1"/>
    </xf>
    <xf numFmtId="0" fontId="9" fillId="4" borderId="1" xfId="0" applyFont="1" applyFill="1" applyBorder="1" applyAlignment="1">
      <alignment horizontal="center" vertical="top" wrapText="1"/>
    </xf>
    <xf numFmtId="0" fontId="9" fillId="4" borderId="1" xfId="0" applyFont="1" applyFill="1" applyBorder="1" applyAlignment="1">
      <alignment horizontal="left" vertical="top" wrapText="1"/>
    </xf>
    <xf numFmtId="0" fontId="9" fillId="5" borderId="1" xfId="0" applyFont="1" applyFill="1" applyBorder="1" applyAlignment="1">
      <alignment horizontal="center" vertical="top" wrapText="1"/>
    </xf>
    <xf numFmtId="0" fontId="10" fillId="6" borderId="1" xfId="0" applyFont="1" applyFill="1" applyBorder="1" applyAlignment="1">
      <alignment horizontal="center" vertical="top" wrapText="1"/>
    </xf>
    <xf numFmtId="0" fontId="9" fillId="7" borderId="1" xfId="0" applyFont="1" applyFill="1" applyBorder="1" applyAlignment="1">
      <alignment horizontal="left" vertical="top" wrapText="1"/>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9" fillId="8" borderId="1" xfId="0" applyFont="1" applyFill="1" applyBorder="1" applyAlignment="1">
      <alignment horizontal="center" vertical="top" wrapText="1"/>
    </xf>
    <xf numFmtId="0" fontId="11" fillId="9" borderId="1" xfId="0" applyFont="1" applyFill="1" applyBorder="1" applyAlignment="1">
      <alignment horizontal="center" vertical="top" wrapText="1"/>
    </xf>
    <xf numFmtId="0" fontId="9" fillId="10" borderId="1" xfId="0" applyFont="1" applyFill="1" applyBorder="1" applyAlignment="1">
      <alignment horizontal="center" vertical="top" wrapText="1"/>
    </xf>
    <xf numFmtId="0" fontId="9" fillId="0" borderId="1" xfId="0" applyFont="1" applyBorder="1" applyAlignment="1">
      <alignment vertical="top" wrapText="1"/>
    </xf>
    <xf numFmtId="0" fontId="9" fillId="4" borderId="1" xfId="0" applyFont="1" applyFill="1" applyBorder="1" applyAlignment="1">
      <alignment vertical="top" wrapText="1"/>
    </xf>
    <xf numFmtId="0" fontId="12" fillId="0" borderId="1" xfId="0" applyFont="1" applyBorder="1" applyAlignment="1">
      <alignment vertical="top" wrapText="1"/>
    </xf>
    <xf numFmtId="0" fontId="9" fillId="0" borderId="3" xfId="0" applyFont="1" applyBorder="1" applyAlignment="1">
      <alignment horizontal="center" vertical="top" wrapText="1"/>
    </xf>
    <xf numFmtId="0" fontId="9" fillId="0" borderId="3" xfId="0" applyFont="1" applyBorder="1" applyAlignment="1">
      <alignment horizontal="left" vertical="top" wrapText="1"/>
    </xf>
    <xf numFmtId="0" fontId="9" fillId="10" borderId="3" xfId="0" applyFont="1" applyFill="1" applyBorder="1" applyAlignment="1">
      <alignment horizontal="center" vertical="top" wrapText="1"/>
    </xf>
    <xf numFmtId="0" fontId="11" fillId="9" borderId="3" xfId="0" applyFont="1" applyFill="1" applyBorder="1" applyAlignment="1">
      <alignment horizontal="center" vertical="top" wrapText="1"/>
    </xf>
    <xf numFmtId="0" fontId="9" fillId="7" borderId="3" xfId="0" applyFont="1" applyFill="1" applyBorder="1" applyAlignment="1">
      <alignment horizontal="left" vertical="top" wrapText="1"/>
    </xf>
    <xf numFmtId="0" fontId="9" fillId="4" borderId="4" xfId="0" applyFont="1" applyFill="1" applyBorder="1" applyAlignment="1">
      <alignment horizontal="center" vertical="top" wrapText="1"/>
    </xf>
    <xf numFmtId="0" fontId="9" fillId="4" borderId="4" xfId="0" applyFont="1" applyFill="1" applyBorder="1" applyAlignment="1">
      <alignment horizontal="left" vertical="top" wrapText="1"/>
    </xf>
    <xf numFmtId="0" fontId="9" fillId="5" borderId="4" xfId="0" applyFont="1" applyFill="1" applyBorder="1" applyAlignment="1">
      <alignment horizontal="center" vertical="top" wrapText="1"/>
    </xf>
    <xf numFmtId="0" fontId="10" fillId="6" borderId="4" xfId="0" applyFont="1" applyFill="1" applyBorder="1" applyAlignment="1">
      <alignment horizontal="center" vertical="top" wrapText="1"/>
    </xf>
    <xf numFmtId="0" fontId="9" fillId="7" borderId="4" xfId="0" applyFont="1" applyFill="1" applyBorder="1" applyAlignment="1">
      <alignment horizontal="left" vertical="top" wrapText="1"/>
    </xf>
    <xf numFmtId="0" fontId="0" fillId="0" borderId="2" xfId="0" applyBorder="1"/>
    <xf numFmtId="0" fontId="0" fillId="8" borderId="2" xfId="0" applyFill="1" applyBorder="1"/>
    <xf numFmtId="0" fontId="11" fillId="9" borderId="2" xfId="0" applyFont="1" applyFill="1" applyBorder="1"/>
    <xf numFmtId="0" fontId="0" fillId="7" borderId="2" xfId="0" applyFill="1" applyBorder="1"/>
    <xf numFmtId="0" fontId="0" fillId="10" borderId="2"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D6B2E"/>
      <rgbColor rgb="FF000080"/>
      <rgbColor rgb="FF808000"/>
      <rgbColor rgb="FF800080"/>
      <rgbColor rgb="FF008080"/>
      <rgbColor rgb="FFBFC9D1"/>
      <rgbColor rgb="FF777777"/>
      <rgbColor rgb="FF9999FF"/>
      <rgbColor rgb="FF993366"/>
      <rgbColor rgb="FFFFF7CC"/>
      <rgbColor rgb="FFF2F5F7"/>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E7EFDC"/>
      <rgbColor rgb="FFDCE9D5"/>
      <rgbColor rgb="FFFCEBD8"/>
      <rgbColor rgb="FFF7F7F7"/>
      <rgbColor rgb="FFFF99CC"/>
      <rgbColor rgb="FFCC99FF"/>
      <rgbColor rgb="FFF6DCDB"/>
      <rgbColor rgb="FF3366FF"/>
      <rgbColor rgb="FF33CCCC"/>
      <rgbColor rgb="FF99CC00"/>
      <rgbColor rgb="FFFFCC00"/>
      <rgbColor rgb="FFFF9900"/>
      <rgbColor rgb="FFFF6600"/>
      <rgbColor rgb="FF5A6B78"/>
      <rgbColor rgb="FF8A8A8A"/>
      <rgbColor rgb="FF003366"/>
      <rgbColor rgb="FF339966"/>
      <rgbColor rgb="FF003300"/>
      <rgbColor rgb="FF222222"/>
      <rgbColor rgb="FF993300"/>
      <rgbColor rgb="FF993366"/>
      <rgbColor rgb="FF333399"/>
      <rgbColor rgb="FF1F3B4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showGridLines="0" tabSelected="1" topLeftCell="A24" zoomScaleNormal="100" workbookViewId="0">
      <selection activeCell="A27" sqref="A27"/>
    </sheetView>
  </sheetViews>
  <sheetFormatPr baseColWidth="10" defaultColWidth="8.6640625" defaultRowHeight="15" x14ac:dyDescent="0.2"/>
  <cols>
    <col min="1" max="1" width="118" customWidth="1"/>
    <col min="2" max="2" width="10" customWidth="1"/>
  </cols>
  <sheetData>
    <row r="1" spans="1:1" ht="24" customHeight="1" x14ac:dyDescent="0.25">
      <c r="A1" s="1" t="s">
        <v>0</v>
      </c>
    </row>
    <row r="2" spans="1:1" x14ac:dyDescent="0.2">
      <c r="A2" s="2" t="s">
        <v>1</v>
      </c>
    </row>
    <row r="4" spans="1:1" ht="19.5" customHeight="1" x14ac:dyDescent="0.2">
      <c r="A4" s="3" t="s">
        <v>2</v>
      </c>
    </row>
    <row r="5" spans="1:1" ht="51.75" customHeight="1" x14ac:dyDescent="0.2">
      <c r="A5" s="4" t="s">
        <v>3</v>
      </c>
    </row>
    <row r="6" spans="1:1" ht="30" customHeight="1" x14ac:dyDescent="0.2">
      <c r="A6" s="4" t="s">
        <v>4</v>
      </c>
    </row>
    <row r="8" spans="1:1" ht="19.5" customHeight="1" x14ac:dyDescent="0.2">
      <c r="A8" s="3" t="s">
        <v>5</v>
      </c>
    </row>
    <row r="9" spans="1:1" ht="51.75" customHeight="1" x14ac:dyDescent="0.2">
      <c r="A9" s="4" t="s">
        <v>6</v>
      </c>
    </row>
    <row r="11" spans="1:1" ht="19.5" customHeight="1" x14ac:dyDescent="0.2">
      <c r="A11" s="3" t="s">
        <v>7</v>
      </c>
    </row>
    <row r="12" spans="1:1" ht="64.5" customHeight="1" x14ac:dyDescent="0.2">
      <c r="A12" s="4" t="s">
        <v>8</v>
      </c>
    </row>
    <row r="13" spans="1:1" ht="51.75" customHeight="1" x14ac:dyDescent="0.2">
      <c r="A13" s="4" t="s">
        <v>9</v>
      </c>
    </row>
    <row r="14" spans="1:1" ht="39" customHeight="1" x14ac:dyDescent="0.2">
      <c r="A14" s="4" t="s">
        <v>10</v>
      </c>
    </row>
    <row r="16" spans="1:1" ht="19.5" customHeight="1" x14ac:dyDescent="0.2">
      <c r="A16" s="3" t="s">
        <v>11</v>
      </c>
    </row>
    <row r="17" spans="1:1" ht="30" customHeight="1" x14ac:dyDescent="0.2">
      <c r="A17" s="4" t="s">
        <v>12</v>
      </c>
    </row>
    <row r="19" spans="1:1" ht="19.5" customHeight="1" x14ac:dyDescent="0.2">
      <c r="A19" s="3" t="s">
        <v>13</v>
      </c>
    </row>
    <row r="20" spans="1:1" ht="51.75" customHeight="1" x14ac:dyDescent="0.2">
      <c r="A20" s="4" t="s">
        <v>14</v>
      </c>
    </row>
    <row r="22" spans="1:1" ht="19.5" customHeight="1" x14ac:dyDescent="0.2">
      <c r="A22" s="3" t="s">
        <v>15</v>
      </c>
    </row>
    <row r="23" spans="1:1" ht="39" customHeight="1" x14ac:dyDescent="0.2">
      <c r="A23" s="4" t="s">
        <v>16</v>
      </c>
    </row>
    <row r="25" spans="1:1" ht="19.5" customHeight="1" x14ac:dyDescent="0.2">
      <c r="A25" s="3" t="s">
        <v>17</v>
      </c>
    </row>
    <row r="26" spans="1:1" ht="39" customHeight="1" x14ac:dyDescent="0.2">
      <c r="A26" s="4" t="s">
        <v>18</v>
      </c>
    </row>
    <row r="28" spans="1:1" ht="19.5" customHeight="1" x14ac:dyDescent="0.2">
      <c r="A28" s="3" t="s">
        <v>19</v>
      </c>
    </row>
    <row r="29" spans="1:1" ht="39" customHeight="1" x14ac:dyDescent="0.2">
      <c r="A29" s="4" t="s">
        <v>20</v>
      </c>
    </row>
    <row r="31" spans="1:1" ht="19.5" customHeight="1" x14ac:dyDescent="0.2">
      <c r="A31" s="3" t="s">
        <v>21</v>
      </c>
    </row>
    <row r="32" spans="1:1" ht="39" customHeight="1" x14ac:dyDescent="0.2">
      <c r="A32" s="4" t="s">
        <v>22</v>
      </c>
    </row>
    <row r="33" spans="1:2" ht="39" customHeight="1" x14ac:dyDescent="0.2">
      <c r="A33" s="4" t="s">
        <v>23</v>
      </c>
    </row>
    <row r="35" spans="1:2" ht="19.5" customHeight="1" x14ac:dyDescent="0.2">
      <c r="A35" s="3" t="s">
        <v>24</v>
      </c>
    </row>
    <row r="36" spans="1:2" ht="30" customHeight="1" x14ac:dyDescent="0.2">
      <c r="A36" s="4" t="s">
        <v>25</v>
      </c>
    </row>
    <row r="38" spans="1:2" ht="19.5" customHeight="1" x14ac:dyDescent="0.2">
      <c r="A38" s="3" t="s">
        <v>26</v>
      </c>
    </row>
    <row r="39" spans="1:2" ht="51.75" customHeight="1" x14ac:dyDescent="0.2">
      <c r="A39" s="4" t="s">
        <v>27</v>
      </c>
    </row>
    <row r="41" spans="1:2" ht="19.5" customHeight="1" x14ac:dyDescent="0.2">
      <c r="A41" s="3" t="s">
        <v>28</v>
      </c>
    </row>
    <row r="42" spans="1:2" ht="51.75" customHeight="1" x14ac:dyDescent="0.2">
      <c r="A42" s="4" t="s">
        <v>29</v>
      </c>
    </row>
    <row r="43" spans="1:2" ht="30" customHeight="1" x14ac:dyDescent="0.2">
      <c r="A43" s="4" t="s">
        <v>30</v>
      </c>
    </row>
    <row r="45" spans="1:2" ht="15.75" customHeight="1" x14ac:dyDescent="0.2">
      <c r="A45" s="3" t="s">
        <v>31</v>
      </c>
    </row>
    <row r="46" spans="1:2" x14ac:dyDescent="0.2">
      <c r="A46" s="5" t="s">
        <v>32</v>
      </c>
      <c r="B46" s="6">
        <f>COUNTIFS(Exigences!$E$3:$E$200,"Indispensable",Exigences!$G$3:$G$200,"1")</f>
        <v>36</v>
      </c>
    </row>
    <row r="47" spans="1:2" x14ac:dyDescent="0.2">
      <c r="A47" s="5" t="s">
        <v>33</v>
      </c>
      <c r="B47" s="6">
        <f>COUNTIFS(Exigences!$E$3:$E$200,"Important",Exigences!$G$3:$G$200,"1")</f>
        <v>16</v>
      </c>
    </row>
    <row r="48" spans="1:2" x14ac:dyDescent="0.2">
      <c r="A48" s="5" t="s">
        <v>34</v>
      </c>
      <c r="B48" s="6">
        <f>COUNTIFS(Exigences!$E$3:$E$200,"Souhaitable",Exigences!$G$3:$G$200,"1")</f>
        <v>0</v>
      </c>
    </row>
    <row r="49" spans="1:2" x14ac:dyDescent="0.2">
      <c r="A49" s="5" t="s">
        <v>35</v>
      </c>
      <c r="B49" s="6">
        <f>COUNTIF(Exigences!$G$3:$G$200,"1")</f>
        <v>52</v>
      </c>
    </row>
    <row r="50" spans="1:2" x14ac:dyDescent="0.2">
      <c r="A50" s="5" t="s">
        <v>36</v>
      </c>
      <c r="B50" s="6">
        <f>COUNTIF(Exigences!$G$3:$G$200,"2")</f>
        <v>15</v>
      </c>
    </row>
    <row r="51" spans="1:2" x14ac:dyDescent="0.2">
      <c r="A51" s="5" t="s">
        <v>37</v>
      </c>
      <c r="B51" s="6">
        <f>COUNTA(Exigences!$A$3:$A$200)</f>
        <v>81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3"/>
  <sheetViews>
    <sheetView showGridLines="0" zoomScaleNormal="100" workbookViewId="0">
      <pane xSplit="2" ySplit="1" topLeftCell="C8" activePane="bottomRight" state="frozen"/>
      <selection pane="topRight" activeCell="C1" sqref="C1"/>
      <selection pane="bottomLeft" activeCell="A23" sqref="A23"/>
      <selection pane="bottomRight" activeCell="D50" sqref="D50"/>
    </sheetView>
  </sheetViews>
  <sheetFormatPr baseColWidth="10" defaultColWidth="8.6640625" defaultRowHeight="15" x14ac:dyDescent="0.2"/>
  <cols>
    <col min="1" max="1" width="9" customWidth="1"/>
    <col min="2" max="2" width="18" customWidth="1"/>
    <col min="3" max="3" width="70.6640625" bestFit="1" customWidth="1"/>
    <col min="4" max="4" width="201.33203125" bestFit="1" customWidth="1"/>
    <col min="5" max="5" width="14" customWidth="1"/>
    <col min="6" max="6" width="24" customWidth="1"/>
    <col min="7" max="7" width="8" customWidth="1"/>
    <col min="8" max="8" width="58.6640625" bestFit="1" customWidth="1"/>
  </cols>
  <sheetData>
    <row r="1" spans="1:8" ht="30" customHeight="1" x14ac:dyDescent="0.2">
      <c r="A1" s="7" t="s">
        <v>38</v>
      </c>
      <c r="B1" s="7" t="s">
        <v>39</v>
      </c>
      <c r="C1" s="7" t="s">
        <v>40</v>
      </c>
      <c r="D1" s="7" t="s">
        <v>41</v>
      </c>
      <c r="E1" s="7" t="s">
        <v>42</v>
      </c>
      <c r="F1" s="7" t="s">
        <v>43</v>
      </c>
      <c r="G1" s="7" t="s">
        <v>44</v>
      </c>
      <c r="H1" s="7" t="s">
        <v>45</v>
      </c>
    </row>
    <row r="2" spans="1:8" ht="27.75" customHeight="1" x14ac:dyDescent="0.2">
      <c r="A2" s="8" t="s">
        <v>46</v>
      </c>
      <c r="B2" s="9" t="s">
        <v>47</v>
      </c>
      <c r="C2" s="9" t="s">
        <v>48</v>
      </c>
      <c r="D2" s="9" t="s">
        <v>49</v>
      </c>
      <c r="E2" s="8" t="s">
        <v>50</v>
      </c>
      <c r="F2" s="9" t="s">
        <v>51</v>
      </c>
      <c r="G2" s="8" t="s">
        <v>52</v>
      </c>
      <c r="H2" s="9" t="s">
        <v>53</v>
      </c>
    </row>
    <row r="3" spans="1:8" ht="27.75" customHeight="1" x14ac:dyDescent="0.2">
      <c r="A3" s="10" t="s">
        <v>54</v>
      </c>
      <c r="B3" s="11" t="s">
        <v>55</v>
      </c>
      <c r="C3" s="11" t="s">
        <v>56</v>
      </c>
      <c r="D3" s="11" t="s">
        <v>57</v>
      </c>
      <c r="E3" s="12" t="s">
        <v>58</v>
      </c>
      <c r="F3" s="11" t="s">
        <v>59</v>
      </c>
      <c r="G3" s="13" t="s">
        <v>60</v>
      </c>
      <c r="H3" s="14"/>
    </row>
    <row r="4" spans="1:8" ht="27.75" customHeight="1" x14ac:dyDescent="0.2">
      <c r="A4" s="15" t="s">
        <v>61</v>
      </c>
      <c r="B4" s="16" t="s">
        <v>55</v>
      </c>
      <c r="C4" s="16" t="s">
        <v>62</v>
      </c>
      <c r="D4" s="16" t="s">
        <v>63</v>
      </c>
      <c r="E4" s="12" t="s">
        <v>58</v>
      </c>
      <c r="F4" s="16" t="s">
        <v>52</v>
      </c>
      <c r="G4" s="13" t="s">
        <v>60</v>
      </c>
      <c r="H4" s="14"/>
    </row>
    <row r="5" spans="1:8" ht="27.75" customHeight="1" x14ac:dyDescent="0.2">
      <c r="A5" s="10" t="s">
        <v>64</v>
      </c>
      <c r="B5" s="11" t="s">
        <v>55</v>
      </c>
      <c r="C5" s="11" t="s">
        <v>65</v>
      </c>
      <c r="D5" s="11" t="s">
        <v>66</v>
      </c>
      <c r="E5" s="12" t="s">
        <v>58</v>
      </c>
      <c r="F5" s="11" t="s">
        <v>67</v>
      </c>
      <c r="G5" s="13" t="s">
        <v>60</v>
      </c>
      <c r="H5" s="14"/>
    </row>
    <row r="6" spans="1:8" ht="27.75" customHeight="1" x14ac:dyDescent="0.2">
      <c r="A6" s="15" t="s">
        <v>68</v>
      </c>
      <c r="B6" s="16" t="s">
        <v>55</v>
      </c>
      <c r="C6" s="16" t="s">
        <v>69</v>
      </c>
      <c r="D6" s="16" t="s">
        <v>70</v>
      </c>
      <c r="E6" s="17" t="s">
        <v>50</v>
      </c>
      <c r="F6" s="16" t="s">
        <v>71</v>
      </c>
      <c r="G6" s="13" t="s">
        <v>60</v>
      </c>
      <c r="H6" s="14"/>
    </row>
    <row r="7" spans="1:8" ht="45.75" customHeight="1" x14ac:dyDescent="0.2">
      <c r="A7" s="10" t="s">
        <v>72</v>
      </c>
      <c r="B7" s="11" t="s">
        <v>73</v>
      </c>
      <c r="C7" s="11" t="s">
        <v>74</v>
      </c>
      <c r="D7" s="11" t="s">
        <v>75</v>
      </c>
      <c r="E7" s="12" t="s">
        <v>58</v>
      </c>
      <c r="F7" s="11" t="s">
        <v>52</v>
      </c>
      <c r="G7" s="13" t="s">
        <v>60</v>
      </c>
      <c r="H7" s="14"/>
    </row>
    <row r="8" spans="1:8" ht="34.5" customHeight="1" x14ac:dyDescent="0.2">
      <c r="A8" s="15" t="s">
        <v>76</v>
      </c>
      <c r="B8" s="16" t="s">
        <v>73</v>
      </c>
      <c r="C8" s="16" t="s">
        <v>77</v>
      </c>
      <c r="D8" s="16" t="s">
        <v>78</v>
      </c>
      <c r="E8" s="12" t="s">
        <v>58</v>
      </c>
      <c r="F8" s="16" t="s">
        <v>52</v>
      </c>
      <c r="G8" s="13" t="s">
        <v>60</v>
      </c>
      <c r="H8" s="14"/>
    </row>
    <row r="9" spans="1:8" ht="27.75" customHeight="1" x14ac:dyDescent="0.2">
      <c r="A9" s="10" t="s">
        <v>79</v>
      </c>
      <c r="B9" s="11" t="s">
        <v>73</v>
      </c>
      <c r="C9" s="11" t="s">
        <v>80</v>
      </c>
      <c r="D9" s="11" t="s">
        <v>81</v>
      </c>
      <c r="E9" s="12" t="s">
        <v>58</v>
      </c>
      <c r="F9" s="11" t="s">
        <v>52</v>
      </c>
      <c r="G9" s="13" t="s">
        <v>60</v>
      </c>
      <c r="H9" s="14"/>
    </row>
    <row r="10" spans="1:8" ht="34.5" customHeight="1" x14ac:dyDescent="0.2">
      <c r="A10" s="15" t="s">
        <v>82</v>
      </c>
      <c r="B10" s="16" t="s">
        <v>73</v>
      </c>
      <c r="C10" s="16" t="s">
        <v>83</v>
      </c>
      <c r="D10" s="16" t="s">
        <v>84</v>
      </c>
      <c r="E10" s="12" t="s">
        <v>58</v>
      </c>
      <c r="F10" s="16" t="s">
        <v>52</v>
      </c>
      <c r="G10" s="13" t="s">
        <v>60</v>
      </c>
      <c r="H10" s="14"/>
    </row>
    <row r="11" spans="1:8" ht="27.75" customHeight="1" x14ac:dyDescent="0.2">
      <c r="A11" s="10" t="s">
        <v>85</v>
      </c>
      <c r="B11" s="11" t="s">
        <v>73</v>
      </c>
      <c r="C11" s="11" t="s">
        <v>86</v>
      </c>
      <c r="D11" s="11" t="s">
        <v>87</v>
      </c>
      <c r="E11" s="17" t="s">
        <v>50</v>
      </c>
      <c r="F11" s="11" t="s">
        <v>52</v>
      </c>
      <c r="G11" s="13" t="s">
        <v>60</v>
      </c>
      <c r="H11" s="14"/>
    </row>
    <row r="12" spans="1:8" ht="27.75" customHeight="1" x14ac:dyDescent="0.2">
      <c r="A12" s="15" t="s">
        <v>88</v>
      </c>
      <c r="B12" s="16" t="s">
        <v>73</v>
      </c>
      <c r="C12" s="16" t="s">
        <v>89</v>
      </c>
      <c r="D12" s="16" t="s">
        <v>90</v>
      </c>
      <c r="E12" s="17" t="s">
        <v>50</v>
      </c>
      <c r="F12" s="16" t="s">
        <v>52</v>
      </c>
      <c r="G12" s="13" t="s">
        <v>60</v>
      </c>
      <c r="H12" s="14"/>
    </row>
    <row r="13" spans="1:8" ht="27.75" customHeight="1" x14ac:dyDescent="0.2">
      <c r="A13" s="10" t="s">
        <v>91</v>
      </c>
      <c r="B13" s="11" t="s">
        <v>73</v>
      </c>
      <c r="C13" s="11" t="s">
        <v>92</v>
      </c>
      <c r="D13" s="11" t="s">
        <v>93</v>
      </c>
      <c r="E13" s="17" t="s">
        <v>50</v>
      </c>
      <c r="F13" s="11" t="s">
        <v>52</v>
      </c>
      <c r="G13" s="13" t="s">
        <v>60</v>
      </c>
      <c r="H13" s="14"/>
    </row>
    <row r="14" spans="1:8" ht="34.5" customHeight="1" x14ac:dyDescent="0.2">
      <c r="A14" s="15" t="s">
        <v>94</v>
      </c>
      <c r="B14" s="16" t="s">
        <v>73</v>
      </c>
      <c r="C14" s="16" t="s">
        <v>95</v>
      </c>
      <c r="D14" s="16" t="s">
        <v>96</v>
      </c>
      <c r="E14" s="12" t="s">
        <v>58</v>
      </c>
      <c r="F14" s="16" t="s">
        <v>52</v>
      </c>
      <c r="G14" s="13" t="s">
        <v>60</v>
      </c>
      <c r="H14" s="14"/>
    </row>
    <row r="15" spans="1:8" ht="27.75" customHeight="1" x14ac:dyDescent="0.2">
      <c r="A15" s="10" t="s">
        <v>97</v>
      </c>
      <c r="B15" s="11" t="s">
        <v>73</v>
      </c>
      <c r="C15" s="11" t="s">
        <v>98</v>
      </c>
      <c r="D15" s="11" t="s">
        <v>99</v>
      </c>
      <c r="E15" s="17" t="s">
        <v>50</v>
      </c>
      <c r="F15" s="11" t="s">
        <v>52</v>
      </c>
      <c r="G15" s="13" t="s">
        <v>60</v>
      </c>
      <c r="H15" s="14"/>
    </row>
    <row r="16" spans="1:8" ht="45.75" customHeight="1" x14ac:dyDescent="0.2">
      <c r="A16" s="15" t="s">
        <v>100</v>
      </c>
      <c r="B16" s="16" t="s">
        <v>101</v>
      </c>
      <c r="C16" s="16" t="s">
        <v>102</v>
      </c>
      <c r="D16" s="16" t="s">
        <v>103</v>
      </c>
      <c r="E16" s="12" t="s">
        <v>58</v>
      </c>
      <c r="F16" s="16" t="s">
        <v>52</v>
      </c>
      <c r="G16" s="13" t="s">
        <v>60</v>
      </c>
      <c r="H16" s="14"/>
    </row>
    <row r="17" spans="1:8" ht="27.75" customHeight="1" x14ac:dyDescent="0.2">
      <c r="A17" s="10" t="s">
        <v>104</v>
      </c>
      <c r="B17" s="11" t="s">
        <v>101</v>
      </c>
      <c r="C17" s="11" t="s">
        <v>105</v>
      </c>
      <c r="D17" s="11" t="s">
        <v>106</v>
      </c>
      <c r="E17" s="17" t="s">
        <v>50</v>
      </c>
      <c r="F17" s="11" t="s">
        <v>52</v>
      </c>
      <c r="G17" s="13" t="s">
        <v>60</v>
      </c>
      <c r="H17" s="14"/>
    </row>
    <row r="18" spans="1:8" ht="27.75" customHeight="1" x14ac:dyDescent="0.2">
      <c r="A18" s="15" t="s">
        <v>107</v>
      </c>
      <c r="B18" s="16" t="s">
        <v>108</v>
      </c>
      <c r="C18" s="16" t="s">
        <v>109</v>
      </c>
      <c r="D18" s="16" t="s">
        <v>110</v>
      </c>
      <c r="E18" s="12" t="s">
        <v>58</v>
      </c>
      <c r="F18" s="16" t="s">
        <v>52</v>
      </c>
      <c r="G18" s="13" t="s">
        <v>60</v>
      </c>
      <c r="H18" s="14"/>
    </row>
    <row r="19" spans="1:8" ht="27.75" customHeight="1" x14ac:dyDescent="0.2">
      <c r="A19" s="10" t="s">
        <v>111</v>
      </c>
      <c r="B19" s="11" t="s">
        <v>108</v>
      </c>
      <c r="C19" s="11" t="s">
        <v>112</v>
      </c>
      <c r="D19" s="11" t="s">
        <v>113</v>
      </c>
      <c r="E19" s="12" t="s">
        <v>58</v>
      </c>
      <c r="F19" s="11" t="s">
        <v>114</v>
      </c>
      <c r="G19" s="13" t="s">
        <v>60</v>
      </c>
      <c r="H19" s="14"/>
    </row>
    <row r="20" spans="1:8" ht="27.75" customHeight="1" x14ac:dyDescent="0.2">
      <c r="A20" s="15" t="s">
        <v>115</v>
      </c>
      <c r="B20" s="16" t="s">
        <v>108</v>
      </c>
      <c r="C20" s="16" t="s">
        <v>116</v>
      </c>
      <c r="D20" s="16" t="s">
        <v>117</v>
      </c>
      <c r="E20" s="12" t="s">
        <v>58</v>
      </c>
      <c r="F20" s="16" t="s">
        <v>52</v>
      </c>
      <c r="G20" s="13" t="s">
        <v>60</v>
      </c>
      <c r="H20" s="14"/>
    </row>
    <row r="21" spans="1:8" ht="27.75" customHeight="1" x14ac:dyDescent="0.2">
      <c r="A21" s="10" t="s">
        <v>118</v>
      </c>
      <c r="B21" s="11" t="s">
        <v>108</v>
      </c>
      <c r="C21" s="11" t="s">
        <v>119</v>
      </c>
      <c r="D21" s="11" t="s">
        <v>120</v>
      </c>
      <c r="E21" s="17" t="s">
        <v>50</v>
      </c>
      <c r="F21" s="11" t="s">
        <v>52</v>
      </c>
      <c r="G21" s="13" t="s">
        <v>60</v>
      </c>
      <c r="H21" s="14"/>
    </row>
    <row r="22" spans="1:8" ht="34.5" customHeight="1" x14ac:dyDescent="0.2">
      <c r="A22" s="15" t="s">
        <v>121</v>
      </c>
      <c r="B22" s="16" t="s">
        <v>108</v>
      </c>
      <c r="C22" s="16" t="s">
        <v>122</v>
      </c>
      <c r="D22" s="16" t="s">
        <v>123</v>
      </c>
      <c r="E22" s="17" t="s">
        <v>50</v>
      </c>
      <c r="F22" s="16" t="s">
        <v>52</v>
      </c>
      <c r="G22" s="13" t="s">
        <v>60</v>
      </c>
      <c r="H22" s="14"/>
    </row>
    <row r="23" spans="1:8" ht="27.75" customHeight="1" x14ac:dyDescent="0.2">
      <c r="A23" s="10" t="s">
        <v>124</v>
      </c>
      <c r="B23" s="11" t="s">
        <v>108</v>
      </c>
      <c r="C23" s="11" t="s">
        <v>125</v>
      </c>
      <c r="D23" s="11" t="s">
        <v>126</v>
      </c>
      <c r="E23" s="17" t="s">
        <v>50</v>
      </c>
      <c r="F23" s="11" t="s">
        <v>52</v>
      </c>
      <c r="G23" s="18">
        <v>3</v>
      </c>
      <c r="H23" s="14"/>
    </row>
    <row r="24" spans="1:8" ht="27.75" customHeight="1" x14ac:dyDescent="0.2">
      <c r="A24" s="15" t="s">
        <v>127</v>
      </c>
      <c r="B24" s="16" t="s">
        <v>108</v>
      </c>
      <c r="C24" s="16" t="s">
        <v>128</v>
      </c>
      <c r="D24" s="16" t="s">
        <v>129</v>
      </c>
      <c r="E24" s="17" t="s">
        <v>50</v>
      </c>
      <c r="F24" s="16" t="s">
        <v>52</v>
      </c>
      <c r="G24" s="18" t="s">
        <v>130</v>
      </c>
      <c r="H24" s="14"/>
    </row>
    <row r="25" spans="1:8" ht="27.75" customHeight="1" x14ac:dyDescent="0.2">
      <c r="A25" s="10" t="s">
        <v>131</v>
      </c>
      <c r="B25" s="11" t="s">
        <v>108</v>
      </c>
      <c r="C25" s="11" t="s">
        <v>132</v>
      </c>
      <c r="D25" s="11" t="s">
        <v>133</v>
      </c>
      <c r="E25" s="17" t="s">
        <v>50</v>
      </c>
      <c r="F25" s="11" t="s">
        <v>52</v>
      </c>
      <c r="G25" s="18" t="s">
        <v>130</v>
      </c>
      <c r="H25" s="14"/>
    </row>
    <row r="26" spans="1:8" ht="27.75" customHeight="1" x14ac:dyDescent="0.2">
      <c r="A26" s="15" t="s">
        <v>134</v>
      </c>
      <c r="B26" s="16" t="s">
        <v>108</v>
      </c>
      <c r="C26" s="16" t="s">
        <v>135</v>
      </c>
      <c r="D26" s="16" t="s">
        <v>136</v>
      </c>
      <c r="E26" s="19" t="s">
        <v>137</v>
      </c>
      <c r="F26" s="16" t="s">
        <v>52</v>
      </c>
      <c r="G26" s="18">
        <v>3</v>
      </c>
      <c r="H26" s="14"/>
    </row>
    <row r="27" spans="1:8" ht="27.75" customHeight="1" x14ac:dyDescent="0.2">
      <c r="A27" s="10" t="s">
        <v>138</v>
      </c>
      <c r="B27" s="11" t="s">
        <v>108</v>
      </c>
      <c r="C27" s="11" t="s">
        <v>139</v>
      </c>
      <c r="D27" s="11" t="s">
        <v>140</v>
      </c>
      <c r="E27" s="19" t="s">
        <v>137</v>
      </c>
      <c r="F27" s="11" t="s">
        <v>141</v>
      </c>
      <c r="G27" s="18" t="s">
        <v>130</v>
      </c>
      <c r="H27" s="14"/>
    </row>
    <row r="28" spans="1:8" ht="27.75" customHeight="1" x14ac:dyDescent="0.2">
      <c r="A28" s="15" t="s">
        <v>142</v>
      </c>
      <c r="B28" s="16" t="s">
        <v>108</v>
      </c>
      <c r="C28" s="16" t="s">
        <v>143</v>
      </c>
      <c r="D28" s="16" t="s">
        <v>144</v>
      </c>
      <c r="E28" s="19" t="s">
        <v>137</v>
      </c>
      <c r="F28" s="16" t="s">
        <v>60</v>
      </c>
      <c r="G28" s="18">
        <v>2</v>
      </c>
      <c r="H28" s="14"/>
    </row>
    <row r="29" spans="1:8" ht="27.75" customHeight="1" x14ac:dyDescent="0.2">
      <c r="A29" s="10" t="s">
        <v>145</v>
      </c>
      <c r="B29" s="11" t="s">
        <v>146</v>
      </c>
      <c r="C29" s="11" t="s">
        <v>147</v>
      </c>
      <c r="D29" s="11" t="s">
        <v>148</v>
      </c>
      <c r="E29" s="12" t="s">
        <v>58</v>
      </c>
      <c r="F29" s="11" t="s">
        <v>52</v>
      </c>
      <c r="G29" s="13" t="s">
        <v>60</v>
      </c>
      <c r="H29" s="14"/>
    </row>
    <row r="30" spans="1:8" ht="27.75" customHeight="1" x14ac:dyDescent="0.2">
      <c r="A30" s="15" t="s">
        <v>149</v>
      </c>
      <c r="B30" s="16" t="s">
        <v>146</v>
      </c>
      <c r="C30" s="16" t="s">
        <v>150</v>
      </c>
      <c r="D30" s="16" t="s">
        <v>151</v>
      </c>
      <c r="E30" s="12" t="s">
        <v>58</v>
      </c>
      <c r="F30" s="16" t="s">
        <v>152</v>
      </c>
      <c r="G30" s="13" t="s">
        <v>60</v>
      </c>
      <c r="H30" s="14"/>
    </row>
    <row r="31" spans="1:8" ht="27.75" customHeight="1" x14ac:dyDescent="0.2">
      <c r="A31" s="10" t="s">
        <v>153</v>
      </c>
      <c r="B31" s="11" t="s">
        <v>146</v>
      </c>
      <c r="C31" s="11" t="s">
        <v>154</v>
      </c>
      <c r="D31" s="11" t="s">
        <v>155</v>
      </c>
      <c r="E31" s="12" t="s">
        <v>58</v>
      </c>
      <c r="F31" s="11" t="s">
        <v>52</v>
      </c>
      <c r="G31" s="13" t="s">
        <v>60</v>
      </c>
      <c r="H31" s="14"/>
    </row>
    <row r="32" spans="1:8" ht="27.75" customHeight="1" x14ac:dyDescent="0.2">
      <c r="A32" s="15" t="s">
        <v>156</v>
      </c>
      <c r="B32" s="16" t="s">
        <v>146</v>
      </c>
      <c r="C32" s="16" t="s">
        <v>157</v>
      </c>
      <c r="D32" s="16" t="s">
        <v>158</v>
      </c>
      <c r="E32" s="12" t="s">
        <v>58</v>
      </c>
      <c r="F32" s="16" t="s">
        <v>159</v>
      </c>
      <c r="G32" s="13" t="s">
        <v>60</v>
      </c>
      <c r="H32" s="14"/>
    </row>
    <row r="33" spans="1:8" ht="27.75" customHeight="1" x14ac:dyDescent="0.2">
      <c r="A33" s="10" t="s">
        <v>160</v>
      </c>
      <c r="B33" s="11" t="s">
        <v>146</v>
      </c>
      <c r="C33" s="11" t="s">
        <v>161</v>
      </c>
      <c r="D33" s="11" t="s">
        <v>162</v>
      </c>
      <c r="E33" s="12" t="s">
        <v>58</v>
      </c>
      <c r="F33" s="11" t="s">
        <v>163</v>
      </c>
      <c r="G33" s="13" t="s">
        <v>60</v>
      </c>
      <c r="H33" s="14"/>
    </row>
    <row r="34" spans="1:8" ht="27.75" customHeight="1" x14ac:dyDescent="0.2">
      <c r="A34" s="15" t="s">
        <v>164</v>
      </c>
      <c r="B34" s="16" t="s">
        <v>146</v>
      </c>
      <c r="C34" s="16" t="s">
        <v>165</v>
      </c>
      <c r="D34" s="16" t="s">
        <v>166</v>
      </c>
      <c r="E34" s="17" t="s">
        <v>50</v>
      </c>
      <c r="F34" s="16" t="s">
        <v>167</v>
      </c>
      <c r="G34" s="13" t="s">
        <v>60</v>
      </c>
      <c r="H34" s="14"/>
    </row>
    <row r="35" spans="1:8" ht="34.5" customHeight="1" x14ac:dyDescent="0.2">
      <c r="A35" s="10" t="s">
        <v>168</v>
      </c>
      <c r="B35" s="11" t="s">
        <v>146</v>
      </c>
      <c r="C35" s="11" t="s">
        <v>169</v>
      </c>
      <c r="D35" s="11" t="s">
        <v>170</v>
      </c>
      <c r="E35" s="17" t="s">
        <v>50</v>
      </c>
      <c r="F35" s="11" t="s">
        <v>52</v>
      </c>
      <c r="G35" s="13" t="s">
        <v>60</v>
      </c>
      <c r="H35" s="14"/>
    </row>
    <row r="36" spans="1:8" ht="27.75" customHeight="1" x14ac:dyDescent="0.2">
      <c r="A36" s="15" t="s">
        <v>171</v>
      </c>
      <c r="B36" s="16" t="s">
        <v>146</v>
      </c>
      <c r="C36" s="16" t="s">
        <v>172</v>
      </c>
      <c r="D36" s="16" t="s">
        <v>173</v>
      </c>
      <c r="E36" s="17" t="s">
        <v>50</v>
      </c>
      <c r="F36" s="16" t="s">
        <v>174</v>
      </c>
      <c r="G36" s="18" t="s">
        <v>130</v>
      </c>
      <c r="H36" s="14"/>
    </row>
    <row r="37" spans="1:8" ht="27.75" customHeight="1" x14ac:dyDescent="0.2">
      <c r="A37" s="10" t="s">
        <v>175</v>
      </c>
      <c r="B37" s="11" t="s">
        <v>146</v>
      </c>
      <c r="C37" s="11" t="s">
        <v>176</v>
      </c>
      <c r="D37" s="11" t="s">
        <v>177</v>
      </c>
      <c r="E37" s="19" t="s">
        <v>137</v>
      </c>
      <c r="F37" s="11" t="s">
        <v>52</v>
      </c>
      <c r="G37" s="18" t="s">
        <v>130</v>
      </c>
      <c r="H37" s="14"/>
    </row>
    <row r="38" spans="1:8" ht="27.75" customHeight="1" x14ac:dyDescent="0.2">
      <c r="A38" s="15" t="s">
        <v>178</v>
      </c>
      <c r="B38" s="16" t="s">
        <v>179</v>
      </c>
      <c r="C38" s="16" t="s">
        <v>180</v>
      </c>
      <c r="D38" s="16" t="s">
        <v>181</v>
      </c>
      <c r="E38" s="12" t="s">
        <v>58</v>
      </c>
      <c r="F38" s="16" t="s">
        <v>182</v>
      </c>
      <c r="G38" s="13" t="s">
        <v>60</v>
      </c>
      <c r="H38" s="14"/>
    </row>
    <row r="39" spans="1:8" ht="27.75" customHeight="1" x14ac:dyDescent="0.2">
      <c r="A39" s="10" t="s">
        <v>183</v>
      </c>
      <c r="B39" s="11" t="s">
        <v>179</v>
      </c>
      <c r="C39" s="11" t="s">
        <v>184</v>
      </c>
      <c r="D39" s="11" t="s">
        <v>185</v>
      </c>
      <c r="E39" s="12" t="s">
        <v>58</v>
      </c>
      <c r="F39" s="11" t="s">
        <v>186</v>
      </c>
      <c r="G39" s="13" t="s">
        <v>60</v>
      </c>
      <c r="H39" s="14"/>
    </row>
    <row r="40" spans="1:8" ht="27.75" customHeight="1" x14ac:dyDescent="0.2">
      <c r="A40" s="15" t="s">
        <v>187</v>
      </c>
      <c r="B40" s="16" t="s">
        <v>179</v>
      </c>
      <c r="C40" s="16" t="s">
        <v>188</v>
      </c>
      <c r="D40" s="16" t="s">
        <v>189</v>
      </c>
      <c r="E40" s="12" t="s">
        <v>58</v>
      </c>
      <c r="F40" s="16" t="s">
        <v>52</v>
      </c>
      <c r="G40" s="13" t="s">
        <v>60</v>
      </c>
      <c r="H40" s="14"/>
    </row>
    <row r="41" spans="1:8" ht="27.75" customHeight="1" x14ac:dyDescent="0.2">
      <c r="A41" s="10" t="s">
        <v>190</v>
      </c>
      <c r="B41" s="11" t="s">
        <v>179</v>
      </c>
      <c r="C41" s="11" t="s">
        <v>191</v>
      </c>
      <c r="D41" s="11" t="s">
        <v>192</v>
      </c>
      <c r="E41" s="17" t="s">
        <v>50</v>
      </c>
      <c r="F41" s="11" t="s">
        <v>52</v>
      </c>
      <c r="G41" s="13" t="s">
        <v>60</v>
      </c>
      <c r="H41" s="14"/>
    </row>
    <row r="42" spans="1:8" ht="27.75" customHeight="1" x14ac:dyDescent="0.2">
      <c r="A42" s="15" t="s">
        <v>193</v>
      </c>
      <c r="B42" s="16" t="s">
        <v>179</v>
      </c>
      <c r="C42" s="16" t="s">
        <v>194</v>
      </c>
      <c r="D42" s="16" t="s">
        <v>195</v>
      </c>
      <c r="E42" s="17" t="s">
        <v>50</v>
      </c>
      <c r="F42" s="16" t="s">
        <v>52</v>
      </c>
      <c r="G42" s="13" t="s">
        <v>60</v>
      </c>
      <c r="H42" s="14"/>
    </row>
    <row r="43" spans="1:8" ht="27.75" customHeight="1" x14ac:dyDescent="0.2">
      <c r="A43" s="10" t="s">
        <v>196</v>
      </c>
      <c r="B43" s="11" t="s">
        <v>179</v>
      </c>
      <c r="C43" s="11" t="s">
        <v>197</v>
      </c>
      <c r="D43" s="11" t="s">
        <v>198</v>
      </c>
      <c r="E43" s="17" t="s">
        <v>50</v>
      </c>
      <c r="F43" s="11" t="s">
        <v>199</v>
      </c>
      <c r="G43" s="18" t="s">
        <v>130</v>
      </c>
      <c r="H43" s="14"/>
    </row>
    <row r="44" spans="1:8" ht="27.75" customHeight="1" x14ac:dyDescent="0.2">
      <c r="A44" s="15" t="s">
        <v>200</v>
      </c>
      <c r="B44" s="16" t="s">
        <v>179</v>
      </c>
      <c r="C44" s="16" t="s">
        <v>201</v>
      </c>
      <c r="D44" s="16" t="s">
        <v>202</v>
      </c>
      <c r="E44" s="17" t="s">
        <v>50</v>
      </c>
      <c r="F44" s="16" t="s">
        <v>203</v>
      </c>
      <c r="G44" s="18" t="s">
        <v>130</v>
      </c>
      <c r="H44" s="14"/>
    </row>
    <row r="45" spans="1:8" ht="27.75" customHeight="1" x14ac:dyDescent="0.2">
      <c r="A45" s="10" t="s">
        <v>204</v>
      </c>
      <c r="B45" s="11" t="s">
        <v>179</v>
      </c>
      <c r="C45" s="11" t="s">
        <v>205</v>
      </c>
      <c r="D45" s="11" t="s">
        <v>206</v>
      </c>
      <c r="E45" s="19" t="s">
        <v>137</v>
      </c>
      <c r="F45" s="11" t="s">
        <v>207</v>
      </c>
      <c r="G45" s="18">
        <v>3</v>
      </c>
      <c r="H45" s="14"/>
    </row>
    <row r="46" spans="1:8" ht="27.75" customHeight="1" x14ac:dyDescent="0.2">
      <c r="A46" s="15" t="s">
        <v>208</v>
      </c>
      <c r="B46" s="16" t="s">
        <v>179</v>
      </c>
      <c r="C46" s="16" t="s">
        <v>209</v>
      </c>
      <c r="D46" s="16" t="s">
        <v>210</v>
      </c>
      <c r="E46" s="19" t="s">
        <v>137</v>
      </c>
      <c r="F46" s="16" t="s">
        <v>211</v>
      </c>
      <c r="G46" s="18">
        <v>3</v>
      </c>
      <c r="H46" s="14"/>
    </row>
    <row r="47" spans="1:8" ht="27.75" customHeight="1" x14ac:dyDescent="0.2">
      <c r="A47" s="10" t="s">
        <v>212</v>
      </c>
      <c r="B47" s="11" t="s">
        <v>179</v>
      </c>
      <c r="C47" s="11" t="s">
        <v>213</v>
      </c>
      <c r="D47" s="11" t="s">
        <v>214</v>
      </c>
      <c r="E47" s="17" t="s">
        <v>50</v>
      </c>
      <c r="F47" s="11" t="s">
        <v>52</v>
      </c>
      <c r="G47" s="18" t="s">
        <v>130</v>
      </c>
      <c r="H47" s="14"/>
    </row>
    <row r="48" spans="1:8" ht="27.75" customHeight="1" x14ac:dyDescent="0.2">
      <c r="A48" s="23" t="s">
        <v>215</v>
      </c>
      <c r="B48" s="24" t="s">
        <v>179</v>
      </c>
      <c r="C48" s="24" t="s">
        <v>216</v>
      </c>
      <c r="D48" s="24" t="s">
        <v>217</v>
      </c>
      <c r="E48" s="25" t="s">
        <v>137</v>
      </c>
      <c r="F48" s="24" t="s">
        <v>218</v>
      </c>
      <c r="G48" s="26" t="s">
        <v>130</v>
      </c>
      <c r="H48" s="27"/>
    </row>
    <row r="49" spans="1:8" ht="57" customHeight="1" x14ac:dyDescent="0.2">
      <c r="A49" s="33" t="s">
        <v>219</v>
      </c>
      <c r="B49" s="33" t="s">
        <v>179</v>
      </c>
      <c r="C49" s="33" t="s">
        <v>220</v>
      </c>
      <c r="D49" s="33" t="s">
        <v>221</v>
      </c>
      <c r="E49" s="34" t="s">
        <v>50</v>
      </c>
      <c r="F49" s="33" t="s">
        <v>207</v>
      </c>
      <c r="G49" s="35" t="s">
        <v>222</v>
      </c>
      <c r="H49" s="36" t="s">
        <v>223</v>
      </c>
    </row>
    <row r="50" spans="1:8" ht="57" customHeight="1" x14ac:dyDescent="0.2">
      <c r="A50" s="33" t="s">
        <v>224</v>
      </c>
      <c r="B50" s="33" t="s">
        <v>179</v>
      </c>
      <c r="C50" s="33" t="s">
        <v>225</v>
      </c>
      <c r="D50" s="33" t="s">
        <v>226</v>
      </c>
      <c r="E50" s="37" t="s">
        <v>137</v>
      </c>
      <c r="F50" s="33" t="s">
        <v>207</v>
      </c>
      <c r="G50" s="35" t="s">
        <v>222</v>
      </c>
      <c r="H50" s="36" t="s">
        <v>227</v>
      </c>
    </row>
    <row r="51" spans="1:8" ht="27.75" customHeight="1" x14ac:dyDescent="0.2">
      <c r="A51" s="28" t="s">
        <v>228</v>
      </c>
      <c r="B51" s="29" t="s">
        <v>229</v>
      </c>
      <c r="C51" s="29" t="s">
        <v>230</v>
      </c>
      <c r="D51" s="29" t="s">
        <v>231</v>
      </c>
      <c r="E51" s="30" t="s">
        <v>58</v>
      </c>
      <c r="F51" s="29" t="s">
        <v>52</v>
      </c>
      <c r="G51" s="31" t="s">
        <v>60</v>
      </c>
      <c r="H51" s="32"/>
    </row>
    <row r="52" spans="1:8" ht="27.75" customHeight="1" x14ac:dyDescent="0.2">
      <c r="A52" s="15" t="s">
        <v>232</v>
      </c>
      <c r="B52" s="16" t="s">
        <v>229</v>
      </c>
      <c r="C52" s="16" t="s">
        <v>233</v>
      </c>
      <c r="D52" s="16" t="s">
        <v>234</v>
      </c>
      <c r="E52" s="12" t="s">
        <v>58</v>
      </c>
      <c r="F52" s="16" t="s">
        <v>235</v>
      </c>
      <c r="G52" s="13" t="s">
        <v>60</v>
      </c>
      <c r="H52" s="14"/>
    </row>
    <row r="53" spans="1:8" ht="27.75" customHeight="1" x14ac:dyDescent="0.2">
      <c r="A53" s="10" t="s">
        <v>236</v>
      </c>
      <c r="B53" s="11" t="s">
        <v>229</v>
      </c>
      <c r="C53" s="11" t="s">
        <v>237</v>
      </c>
      <c r="D53" s="11" t="s">
        <v>238</v>
      </c>
      <c r="E53" s="12" t="s">
        <v>58</v>
      </c>
      <c r="F53" s="11" t="s">
        <v>52</v>
      </c>
      <c r="G53" s="13" t="s">
        <v>60</v>
      </c>
      <c r="H53" s="14"/>
    </row>
    <row r="54" spans="1:8" ht="27.75" customHeight="1" x14ac:dyDescent="0.2">
      <c r="A54" s="15" t="s">
        <v>239</v>
      </c>
      <c r="B54" s="16" t="s">
        <v>229</v>
      </c>
      <c r="C54" s="16" t="s">
        <v>240</v>
      </c>
      <c r="D54" s="16" t="s">
        <v>241</v>
      </c>
      <c r="E54" s="12" t="s">
        <v>58</v>
      </c>
      <c r="F54" s="16" t="s">
        <v>242</v>
      </c>
      <c r="G54" s="13" t="s">
        <v>60</v>
      </c>
      <c r="H54" s="14"/>
    </row>
    <row r="55" spans="1:8" ht="27.75" customHeight="1" x14ac:dyDescent="0.2">
      <c r="A55" s="10" t="s">
        <v>243</v>
      </c>
      <c r="B55" s="11" t="s">
        <v>229</v>
      </c>
      <c r="C55" s="11" t="s">
        <v>244</v>
      </c>
      <c r="D55" s="11" t="s">
        <v>245</v>
      </c>
      <c r="E55" s="12" t="s">
        <v>58</v>
      </c>
      <c r="F55" s="11" t="s">
        <v>52</v>
      </c>
      <c r="G55" s="13" t="s">
        <v>60</v>
      </c>
      <c r="H55" s="14"/>
    </row>
    <row r="56" spans="1:8" ht="34.5" customHeight="1" x14ac:dyDescent="0.2">
      <c r="A56" s="15" t="s">
        <v>246</v>
      </c>
      <c r="B56" s="16" t="s">
        <v>229</v>
      </c>
      <c r="C56" s="16" t="s">
        <v>247</v>
      </c>
      <c r="D56" s="16" t="s">
        <v>248</v>
      </c>
      <c r="E56" s="17" t="s">
        <v>50</v>
      </c>
      <c r="F56" s="16" t="s">
        <v>52</v>
      </c>
      <c r="G56" s="13" t="s">
        <v>60</v>
      </c>
      <c r="H56" s="14"/>
    </row>
    <row r="57" spans="1:8" ht="27.75" customHeight="1" x14ac:dyDescent="0.2">
      <c r="A57" s="10" t="s">
        <v>249</v>
      </c>
      <c r="B57" s="11" t="s">
        <v>229</v>
      </c>
      <c r="C57" s="11" t="s">
        <v>250</v>
      </c>
      <c r="D57" s="11" t="s">
        <v>251</v>
      </c>
      <c r="E57" s="12" t="s">
        <v>58</v>
      </c>
      <c r="F57" s="11" t="s">
        <v>252</v>
      </c>
      <c r="G57" s="13" t="s">
        <v>60</v>
      </c>
      <c r="H57" s="14"/>
    </row>
    <row r="58" spans="1:8" ht="27.75" customHeight="1" x14ac:dyDescent="0.2">
      <c r="A58" s="15" t="s">
        <v>253</v>
      </c>
      <c r="B58" s="16" t="s">
        <v>229</v>
      </c>
      <c r="C58" s="16" t="s">
        <v>254</v>
      </c>
      <c r="D58" s="16" t="s">
        <v>255</v>
      </c>
      <c r="E58" s="12" t="s">
        <v>58</v>
      </c>
      <c r="F58" s="16" t="s">
        <v>52</v>
      </c>
      <c r="G58" s="13" t="s">
        <v>60</v>
      </c>
      <c r="H58" s="14"/>
    </row>
    <row r="59" spans="1:8" ht="27.75" customHeight="1" x14ac:dyDescent="0.2">
      <c r="A59" s="10" t="s">
        <v>256</v>
      </c>
      <c r="B59" s="11" t="s">
        <v>229</v>
      </c>
      <c r="C59" s="11" t="s">
        <v>257</v>
      </c>
      <c r="D59" s="11" t="s">
        <v>258</v>
      </c>
      <c r="E59" s="19" t="s">
        <v>137</v>
      </c>
      <c r="F59" s="11" t="s">
        <v>52</v>
      </c>
      <c r="G59" s="18">
        <v>3</v>
      </c>
      <c r="H59" s="14"/>
    </row>
    <row r="60" spans="1:8" ht="27.75" customHeight="1" x14ac:dyDescent="0.2">
      <c r="A60" s="15" t="s">
        <v>259</v>
      </c>
      <c r="B60" s="16" t="s">
        <v>229</v>
      </c>
      <c r="C60" s="16" t="s">
        <v>260</v>
      </c>
      <c r="D60" s="16" t="s">
        <v>261</v>
      </c>
      <c r="E60" s="19" t="s">
        <v>137</v>
      </c>
      <c r="F60" s="16" t="s">
        <v>262</v>
      </c>
      <c r="G60" s="18" t="s">
        <v>130</v>
      </c>
      <c r="H60" s="14"/>
    </row>
    <row r="61" spans="1:8" ht="27.75" customHeight="1" x14ac:dyDescent="0.2">
      <c r="A61" s="10" t="s">
        <v>263</v>
      </c>
      <c r="B61" s="11" t="s">
        <v>229</v>
      </c>
      <c r="C61" s="11" t="s">
        <v>264</v>
      </c>
      <c r="D61" s="11" t="s">
        <v>265</v>
      </c>
      <c r="E61" s="19" t="s">
        <v>137</v>
      </c>
      <c r="F61" s="11" t="s">
        <v>52</v>
      </c>
      <c r="G61" s="18">
        <v>3</v>
      </c>
      <c r="H61" s="14"/>
    </row>
    <row r="62" spans="1:8" ht="57" customHeight="1" x14ac:dyDescent="0.2">
      <c r="A62" s="15" t="s">
        <v>266</v>
      </c>
      <c r="B62" s="16" t="s">
        <v>267</v>
      </c>
      <c r="C62" s="16" t="s">
        <v>268</v>
      </c>
      <c r="D62" s="16" t="s">
        <v>269</v>
      </c>
      <c r="E62" s="12" t="s">
        <v>58</v>
      </c>
      <c r="F62" s="16" t="s">
        <v>52</v>
      </c>
      <c r="G62" s="13" t="s">
        <v>60</v>
      </c>
      <c r="H62" s="14"/>
    </row>
    <row r="63" spans="1:8" ht="27.75" customHeight="1" x14ac:dyDescent="0.2">
      <c r="A63" s="10" t="s">
        <v>270</v>
      </c>
      <c r="B63" s="11" t="s">
        <v>267</v>
      </c>
      <c r="C63" s="11" t="s">
        <v>271</v>
      </c>
      <c r="D63" s="11" t="s">
        <v>272</v>
      </c>
      <c r="E63" s="12" t="s">
        <v>58</v>
      </c>
      <c r="F63" s="11" t="s">
        <v>52</v>
      </c>
      <c r="G63" s="13" t="s">
        <v>60</v>
      </c>
      <c r="H63" s="14"/>
    </row>
    <row r="64" spans="1:8" ht="27.75" customHeight="1" x14ac:dyDescent="0.2">
      <c r="A64" s="15" t="s">
        <v>273</v>
      </c>
      <c r="B64" s="16" t="s">
        <v>267</v>
      </c>
      <c r="C64" s="16" t="s">
        <v>274</v>
      </c>
      <c r="D64" s="16" t="s">
        <v>275</v>
      </c>
      <c r="E64" s="12" t="s">
        <v>58</v>
      </c>
      <c r="F64" s="16" t="s">
        <v>276</v>
      </c>
      <c r="G64" s="13" t="s">
        <v>60</v>
      </c>
      <c r="H64" s="14"/>
    </row>
    <row r="65" spans="1:8" ht="27.75" customHeight="1" x14ac:dyDescent="0.2">
      <c r="A65" s="10" t="s">
        <v>277</v>
      </c>
      <c r="B65" s="11" t="s">
        <v>267</v>
      </c>
      <c r="C65" s="11" t="s">
        <v>278</v>
      </c>
      <c r="D65" s="11" t="s">
        <v>279</v>
      </c>
      <c r="E65" s="12" t="s">
        <v>58</v>
      </c>
      <c r="F65" s="11" t="s">
        <v>52</v>
      </c>
      <c r="G65" s="13" t="s">
        <v>60</v>
      </c>
      <c r="H65" s="14"/>
    </row>
    <row r="66" spans="1:8" ht="27.75" customHeight="1" x14ac:dyDescent="0.2">
      <c r="A66" s="15" t="s">
        <v>280</v>
      </c>
      <c r="B66" s="16" t="s">
        <v>267</v>
      </c>
      <c r="C66" s="16" t="s">
        <v>281</v>
      </c>
      <c r="D66" s="16" t="s">
        <v>282</v>
      </c>
      <c r="E66" s="12" t="s">
        <v>58</v>
      </c>
      <c r="F66" s="16" t="s">
        <v>52</v>
      </c>
      <c r="G66" s="13" t="s">
        <v>60</v>
      </c>
      <c r="H66" s="14"/>
    </row>
    <row r="67" spans="1:8" ht="27.75" customHeight="1" x14ac:dyDescent="0.2">
      <c r="A67" s="10" t="s">
        <v>283</v>
      </c>
      <c r="B67" s="11" t="s">
        <v>267</v>
      </c>
      <c r="C67" s="11" t="s">
        <v>284</v>
      </c>
      <c r="D67" s="11" t="s">
        <v>285</v>
      </c>
      <c r="E67" s="17" t="s">
        <v>50</v>
      </c>
      <c r="F67" s="11" t="s">
        <v>286</v>
      </c>
      <c r="G67" s="18" t="s">
        <v>130</v>
      </c>
      <c r="H67" s="14"/>
    </row>
    <row r="68" spans="1:8" ht="27.75" customHeight="1" x14ac:dyDescent="0.2">
      <c r="A68" s="15" t="s">
        <v>287</v>
      </c>
      <c r="B68" s="16" t="s">
        <v>267</v>
      </c>
      <c r="C68" s="16" t="s">
        <v>288</v>
      </c>
      <c r="D68" s="16" t="s">
        <v>289</v>
      </c>
      <c r="E68" s="17" t="s">
        <v>50</v>
      </c>
      <c r="F68" s="16" t="s">
        <v>290</v>
      </c>
      <c r="G68" s="18">
        <v>3</v>
      </c>
      <c r="H68" s="14"/>
    </row>
    <row r="69" spans="1:8" ht="27.75" customHeight="1" x14ac:dyDescent="0.2">
      <c r="A69" s="10" t="s">
        <v>291</v>
      </c>
      <c r="B69" s="11" t="s">
        <v>267</v>
      </c>
      <c r="C69" s="11" t="s">
        <v>292</v>
      </c>
      <c r="D69" s="11" t="s">
        <v>293</v>
      </c>
      <c r="E69" s="19" t="s">
        <v>137</v>
      </c>
      <c r="F69" s="11" t="s">
        <v>52</v>
      </c>
      <c r="G69" s="18">
        <v>3</v>
      </c>
      <c r="H69" s="14"/>
    </row>
    <row r="70" spans="1:8" ht="27.75" customHeight="1" x14ac:dyDescent="0.2">
      <c r="A70" s="15" t="s">
        <v>294</v>
      </c>
      <c r="B70" s="16" t="s">
        <v>267</v>
      </c>
      <c r="C70" s="16" t="s">
        <v>295</v>
      </c>
      <c r="D70" s="16" t="s">
        <v>296</v>
      </c>
      <c r="E70" s="19" t="s">
        <v>137</v>
      </c>
      <c r="F70" s="16" t="s">
        <v>52</v>
      </c>
      <c r="G70" s="18">
        <v>3</v>
      </c>
      <c r="H70" s="14"/>
    </row>
    <row r="71" spans="1:8" ht="27.75" customHeight="1" x14ac:dyDescent="0.2">
      <c r="A71" s="10" t="s">
        <v>297</v>
      </c>
      <c r="B71" s="11" t="s">
        <v>267</v>
      </c>
      <c r="C71" s="11" t="s">
        <v>298</v>
      </c>
      <c r="D71" s="11" t="s">
        <v>299</v>
      </c>
      <c r="E71" s="19" t="s">
        <v>137</v>
      </c>
      <c r="F71" s="11" t="s">
        <v>52</v>
      </c>
      <c r="G71" s="18">
        <v>3</v>
      </c>
      <c r="H71" s="14"/>
    </row>
    <row r="72" spans="1:8" ht="27.75" customHeight="1" x14ac:dyDescent="0.2">
      <c r="A72" s="15" t="s">
        <v>300</v>
      </c>
      <c r="B72" s="16" t="s">
        <v>301</v>
      </c>
      <c r="C72" s="16" t="s">
        <v>302</v>
      </c>
      <c r="D72" s="16" t="s">
        <v>303</v>
      </c>
      <c r="E72" s="12" t="s">
        <v>58</v>
      </c>
      <c r="F72" s="16" t="s">
        <v>52</v>
      </c>
      <c r="G72" s="13" t="s">
        <v>60</v>
      </c>
      <c r="H72" s="14"/>
    </row>
    <row r="73" spans="1:8" ht="27.75" customHeight="1" x14ac:dyDescent="0.2">
      <c r="A73" s="10" t="s">
        <v>304</v>
      </c>
      <c r="B73" s="11" t="s">
        <v>301</v>
      </c>
      <c r="C73" s="11" t="s">
        <v>305</v>
      </c>
      <c r="D73" s="11" t="s">
        <v>306</v>
      </c>
      <c r="E73" s="12" t="s">
        <v>58</v>
      </c>
      <c r="F73" s="11" t="s">
        <v>52</v>
      </c>
      <c r="G73" s="13" t="s">
        <v>60</v>
      </c>
      <c r="H73" s="14"/>
    </row>
    <row r="74" spans="1:8" ht="27.75" customHeight="1" x14ac:dyDescent="0.2">
      <c r="A74" s="15" t="s">
        <v>307</v>
      </c>
      <c r="B74" s="16" t="s">
        <v>301</v>
      </c>
      <c r="C74" s="16" t="s">
        <v>308</v>
      </c>
      <c r="D74" s="16" t="s">
        <v>309</v>
      </c>
      <c r="E74" s="17" t="s">
        <v>50</v>
      </c>
      <c r="F74" s="16" t="s">
        <v>52</v>
      </c>
      <c r="G74" s="13" t="s">
        <v>60</v>
      </c>
      <c r="H74" s="14"/>
    </row>
    <row r="75" spans="1:8" ht="27.75" customHeight="1" x14ac:dyDescent="0.2">
      <c r="A75" s="10" t="s">
        <v>310</v>
      </c>
      <c r="B75" s="11" t="s">
        <v>311</v>
      </c>
      <c r="C75" s="11" t="s">
        <v>312</v>
      </c>
      <c r="D75" s="11" t="s">
        <v>313</v>
      </c>
      <c r="E75" s="12" t="s">
        <v>58</v>
      </c>
      <c r="F75" s="11" t="s">
        <v>314</v>
      </c>
      <c r="G75" s="13" t="s">
        <v>60</v>
      </c>
      <c r="H75" s="14"/>
    </row>
    <row r="76" spans="1:8" ht="27.75" customHeight="1" x14ac:dyDescent="0.2">
      <c r="A76" s="15" t="s">
        <v>315</v>
      </c>
      <c r="B76" s="16" t="s">
        <v>311</v>
      </c>
      <c r="C76" s="16" t="s">
        <v>316</v>
      </c>
      <c r="D76" s="16" t="s">
        <v>317</v>
      </c>
      <c r="E76" s="12" t="s">
        <v>58</v>
      </c>
      <c r="F76" s="16" t="s">
        <v>52</v>
      </c>
      <c r="G76" s="13" t="s">
        <v>60</v>
      </c>
      <c r="H76" s="14"/>
    </row>
    <row r="77" spans="1:8" ht="27.75" customHeight="1" x14ac:dyDescent="0.2">
      <c r="A77" s="10" t="s">
        <v>318</v>
      </c>
      <c r="B77" s="11" t="s">
        <v>311</v>
      </c>
      <c r="C77" s="11" t="s">
        <v>319</v>
      </c>
      <c r="D77" s="11" t="s">
        <v>320</v>
      </c>
      <c r="E77" s="17" t="s">
        <v>50</v>
      </c>
      <c r="F77" s="11" t="s">
        <v>321</v>
      </c>
      <c r="G77" s="18">
        <v>3</v>
      </c>
      <c r="H77" s="14"/>
    </row>
    <row r="78" spans="1:8" ht="27.75" customHeight="1" x14ac:dyDescent="0.2">
      <c r="A78" s="15" t="s">
        <v>322</v>
      </c>
      <c r="B78" s="16" t="s">
        <v>311</v>
      </c>
      <c r="C78" s="16" t="s">
        <v>323</v>
      </c>
      <c r="D78" s="16" t="s">
        <v>324</v>
      </c>
      <c r="E78" s="17" t="s">
        <v>50</v>
      </c>
      <c r="F78" s="16" t="s">
        <v>52</v>
      </c>
      <c r="G78" s="18" t="s">
        <v>130</v>
      </c>
      <c r="H78" s="14"/>
    </row>
    <row r="79" spans="1:8" ht="27.75" customHeight="1" x14ac:dyDescent="0.2">
      <c r="A79" s="10" t="s">
        <v>325</v>
      </c>
      <c r="B79" s="11" t="s">
        <v>326</v>
      </c>
      <c r="C79" s="11" t="s">
        <v>327</v>
      </c>
      <c r="D79" s="11" t="s">
        <v>328</v>
      </c>
      <c r="E79" s="17" t="s">
        <v>50</v>
      </c>
      <c r="F79" s="11" t="s">
        <v>52</v>
      </c>
      <c r="G79" s="13" t="s">
        <v>60</v>
      </c>
      <c r="H79" s="14"/>
    </row>
    <row r="80" spans="1:8" ht="27.75" customHeight="1" x14ac:dyDescent="0.2">
      <c r="A80" s="15" t="s">
        <v>329</v>
      </c>
      <c r="B80" s="16" t="s">
        <v>326</v>
      </c>
      <c r="C80" s="16" t="s">
        <v>330</v>
      </c>
      <c r="D80" s="16" t="s">
        <v>331</v>
      </c>
      <c r="E80" s="17" t="s">
        <v>50</v>
      </c>
      <c r="F80" s="16" t="s">
        <v>52</v>
      </c>
      <c r="G80" s="13" t="s">
        <v>60</v>
      </c>
      <c r="H80" s="14"/>
    </row>
    <row r="81" spans="1:8" ht="27.75" customHeight="1" x14ac:dyDescent="0.2">
      <c r="A81" s="10" t="s">
        <v>332</v>
      </c>
      <c r="B81" s="11" t="s">
        <v>326</v>
      </c>
      <c r="C81" s="11" t="s">
        <v>333</v>
      </c>
      <c r="D81" s="11" t="s">
        <v>334</v>
      </c>
      <c r="E81" s="17" t="s">
        <v>50</v>
      </c>
      <c r="F81" s="11" t="s">
        <v>52</v>
      </c>
      <c r="G81" s="18" t="s">
        <v>130</v>
      </c>
      <c r="H81" s="14"/>
    </row>
    <row r="82" spans="1:8" ht="28" x14ac:dyDescent="0.2">
      <c r="A82" s="15" t="s">
        <v>335</v>
      </c>
      <c r="B82" s="16" t="s">
        <v>326</v>
      </c>
      <c r="C82" s="16" t="s">
        <v>336</v>
      </c>
      <c r="D82" s="16" t="s">
        <v>337</v>
      </c>
      <c r="E82" s="17" t="s">
        <v>50</v>
      </c>
      <c r="F82" s="16" t="s">
        <v>338</v>
      </c>
      <c r="G82" s="18" t="s">
        <v>130</v>
      </c>
      <c r="H82" s="14"/>
    </row>
    <row r="83" spans="1:8" x14ac:dyDescent="0.2">
      <c r="A83" s="10" t="s">
        <v>339</v>
      </c>
      <c r="B83" s="11" t="s">
        <v>326</v>
      </c>
      <c r="C83" s="11" t="s">
        <v>340</v>
      </c>
      <c r="D83" s="11" t="s">
        <v>341</v>
      </c>
      <c r="E83" s="17" t="s">
        <v>50</v>
      </c>
      <c r="F83" s="11" t="s">
        <v>52</v>
      </c>
      <c r="G83" s="18">
        <v>3</v>
      </c>
      <c r="H83" s="14"/>
    </row>
  </sheetData>
  <autoFilter ref="A1:H83"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showGridLines="0" zoomScaleNormal="100" workbookViewId="0"/>
  </sheetViews>
  <sheetFormatPr baseColWidth="10" defaultColWidth="8.6640625" defaultRowHeight="15" x14ac:dyDescent="0.2"/>
  <cols>
    <col min="1" max="1" width="30" customWidth="1"/>
    <col min="2" max="2" width="12" customWidth="1"/>
    <col min="3" max="4" width="10" customWidth="1"/>
    <col min="5" max="5" width="12" customWidth="1"/>
    <col min="6" max="6" width="24" customWidth="1"/>
    <col min="7" max="7" width="12" customWidth="1"/>
    <col min="8" max="8" width="34" customWidth="1"/>
  </cols>
  <sheetData>
    <row r="1" spans="1:8" ht="27.75" customHeight="1" x14ac:dyDescent="0.2">
      <c r="A1" s="7" t="s">
        <v>342</v>
      </c>
      <c r="B1" s="7" t="s">
        <v>343</v>
      </c>
      <c r="C1" s="7" t="s">
        <v>344</v>
      </c>
      <c r="D1" s="7" t="s">
        <v>345</v>
      </c>
      <c r="E1" s="7" t="s">
        <v>346</v>
      </c>
      <c r="F1" s="7" t="s">
        <v>347</v>
      </c>
      <c r="G1" s="7" t="s">
        <v>348</v>
      </c>
      <c r="H1" s="7" t="s">
        <v>45</v>
      </c>
    </row>
    <row r="2" spans="1:8" ht="27.75" customHeight="1" x14ac:dyDescent="0.2">
      <c r="A2" s="16" t="s">
        <v>349</v>
      </c>
      <c r="B2" s="15" t="s">
        <v>350</v>
      </c>
      <c r="C2" s="15" t="s">
        <v>351</v>
      </c>
      <c r="D2" s="15" t="s">
        <v>352</v>
      </c>
      <c r="E2" s="15" t="s">
        <v>353</v>
      </c>
      <c r="F2" s="16" t="s">
        <v>354</v>
      </c>
      <c r="G2" s="15" t="s">
        <v>178</v>
      </c>
      <c r="H2" s="14"/>
    </row>
    <row r="3" spans="1:8" ht="27.75" customHeight="1" x14ac:dyDescent="0.2">
      <c r="A3" s="11" t="s">
        <v>355</v>
      </c>
      <c r="B3" s="10" t="s">
        <v>356</v>
      </c>
      <c r="C3" s="10" t="s">
        <v>52</v>
      </c>
      <c r="D3" s="10" t="s">
        <v>52</v>
      </c>
      <c r="E3" s="10" t="s">
        <v>52</v>
      </c>
      <c r="F3" s="11" t="s">
        <v>354</v>
      </c>
      <c r="G3" s="10" t="s">
        <v>183</v>
      </c>
      <c r="H3" s="14"/>
    </row>
    <row r="4" spans="1:8" ht="27.75" customHeight="1" x14ac:dyDescent="0.2">
      <c r="A4" s="16" t="s">
        <v>357</v>
      </c>
      <c r="B4" s="15" t="s">
        <v>358</v>
      </c>
      <c r="C4" s="15" t="s">
        <v>359</v>
      </c>
      <c r="D4" s="15" t="s">
        <v>360</v>
      </c>
      <c r="E4" s="15" t="s">
        <v>361</v>
      </c>
      <c r="F4" s="16" t="s">
        <v>354</v>
      </c>
      <c r="G4" s="15" t="s">
        <v>183</v>
      </c>
      <c r="H4" s="14"/>
    </row>
    <row r="5" spans="1:8" ht="27.75" customHeight="1" x14ac:dyDescent="0.2">
      <c r="A5" s="11" t="s">
        <v>362</v>
      </c>
      <c r="B5" s="10" t="s">
        <v>359</v>
      </c>
      <c r="C5" s="10" t="s">
        <v>363</v>
      </c>
      <c r="D5" s="10" t="s">
        <v>364</v>
      </c>
      <c r="E5" s="10" t="s">
        <v>365</v>
      </c>
      <c r="F5" s="11" t="s">
        <v>366</v>
      </c>
      <c r="G5" s="10" t="s">
        <v>164</v>
      </c>
      <c r="H5" s="14" t="s">
        <v>367</v>
      </c>
    </row>
    <row r="6" spans="1:8" ht="27.75" customHeight="1" x14ac:dyDescent="0.2">
      <c r="A6" s="16" t="s">
        <v>368</v>
      </c>
      <c r="B6" s="15" t="s">
        <v>369</v>
      </c>
      <c r="C6" s="15" t="s">
        <v>370</v>
      </c>
      <c r="D6" s="15" t="s">
        <v>371</v>
      </c>
      <c r="E6" s="15" t="s">
        <v>365</v>
      </c>
      <c r="F6" s="16" t="s">
        <v>366</v>
      </c>
      <c r="G6" s="15" t="s">
        <v>239</v>
      </c>
      <c r="H6" s="14" t="s">
        <v>372</v>
      </c>
    </row>
    <row r="7" spans="1:8" ht="27.75" customHeight="1" x14ac:dyDescent="0.2">
      <c r="A7" s="11" t="s">
        <v>373</v>
      </c>
      <c r="B7" s="10" t="s">
        <v>374</v>
      </c>
      <c r="C7" s="10" t="s">
        <v>52</v>
      </c>
      <c r="D7" s="10" t="s">
        <v>52</v>
      </c>
      <c r="E7" s="10" t="s">
        <v>365</v>
      </c>
      <c r="F7" s="11" t="s">
        <v>375</v>
      </c>
      <c r="G7" s="10" t="s">
        <v>259</v>
      </c>
      <c r="H7" s="14" t="s">
        <v>376</v>
      </c>
    </row>
    <row r="8" spans="1:8" ht="27.75" customHeight="1" x14ac:dyDescent="0.2">
      <c r="A8" s="16" t="s">
        <v>377</v>
      </c>
      <c r="B8" s="15" t="s">
        <v>378</v>
      </c>
      <c r="C8" s="15" t="s">
        <v>52</v>
      </c>
      <c r="D8" s="15" t="s">
        <v>52</v>
      </c>
      <c r="E8" s="15" t="s">
        <v>379</v>
      </c>
      <c r="F8" s="16" t="s">
        <v>380</v>
      </c>
      <c r="G8" s="15" t="s">
        <v>232</v>
      </c>
      <c r="H8" s="14" t="s">
        <v>381</v>
      </c>
    </row>
    <row r="9" spans="1:8" ht="27.75" customHeight="1" x14ac:dyDescent="0.2">
      <c r="A9" s="11" t="s">
        <v>382</v>
      </c>
      <c r="B9" s="10" t="s">
        <v>383</v>
      </c>
      <c r="C9" s="10" t="s">
        <v>52</v>
      </c>
      <c r="D9" s="10" t="s">
        <v>52</v>
      </c>
      <c r="E9" s="10" t="s">
        <v>384</v>
      </c>
      <c r="F9" s="11" t="s">
        <v>380</v>
      </c>
      <c r="G9" s="10" t="s">
        <v>273</v>
      </c>
      <c r="H9" s="14" t="s">
        <v>385</v>
      </c>
    </row>
    <row r="10" spans="1:8" ht="27.75" customHeight="1" x14ac:dyDescent="0.2">
      <c r="A10" s="16" t="s">
        <v>386</v>
      </c>
      <c r="B10" s="15" t="s">
        <v>387</v>
      </c>
      <c r="C10" s="15" t="s">
        <v>52</v>
      </c>
      <c r="D10" s="15" t="s">
        <v>52</v>
      </c>
      <c r="E10" s="15" t="s">
        <v>365</v>
      </c>
      <c r="F10" s="16" t="s">
        <v>380</v>
      </c>
      <c r="G10" s="15" t="s">
        <v>273</v>
      </c>
      <c r="H10" s="14" t="s">
        <v>388</v>
      </c>
    </row>
    <row r="11" spans="1:8" ht="27.75" customHeight="1" x14ac:dyDescent="0.2">
      <c r="A11" s="16" t="s">
        <v>389</v>
      </c>
      <c r="B11" s="15" t="s">
        <v>207</v>
      </c>
      <c r="C11" s="15" t="s">
        <v>52</v>
      </c>
      <c r="D11" s="15" t="s">
        <v>52</v>
      </c>
      <c r="E11" s="15" t="s">
        <v>52</v>
      </c>
      <c r="F11" s="16" t="s">
        <v>366</v>
      </c>
      <c r="G11" s="15" t="s">
        <v>219</v>
      </c>
      <c r="H11" s="14"/>
    </row>
    <row r="12" spans="1:8" ht="27.75" customHeight="1" x14ac:dyDescent="0.2">
      <c r="A12" s="16" t="s">
        <v>390</v>
      </c>
      <c r="B12" s="15" t="s">
        <v>207</v>
      </c>
      <c r="C12" s="15" t="s">
        <v>52</v>
      </c>
      <c r="D12" s="15" t="s">
        <v>52</v>
      </c>
      <c r="E12" s="15" t="s">
        <v>52</v>
      </c>
      <c r="F12" s="16" t="s">
        <v>366</v>
      </c>
      <c r="G12" s="15" t="s">
        <v>224</v>
      </c>
      <c r="H12" s="14" t="s">
        <v>391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showGridLines="0" zoomScaleNormal="100" workbookViewId="0">
      <selection activeCell="A16" sqref="A16"/>
    </sheetView>
  </sheetViews>
  <sheetFormatPr baseColWidth="10" defaultColWidth="8.6640625" defaultRowHeight="15" x14ac:dyDescent="0.2"/>
  <cols>
    <col min="1" max="1" width="26" customWidth="1"/>
    <col min="2" max="3" width="54" customWidth="1"/>
    <col min="4" max="4" width="44" customWidth="1"/>
  </cols>
  <sheetData>
    <row r="1" spans="1:4" ht="27.75" customHeight="1" x14ac:dyDescent="0.2">
      <c r="A1" s="7" t="s">
        <v>392</v>
      </c>
      <c r="B1" s="7" t="s">
        <v>393</v>
      </c>
      <c r="C1" s="7" t="s">
        <v>394</v>
      </c>
      <c r="D1" s="7" t="s">
        <v>395</v>
      </c>
    </row>
    <row r="2" spans="1:4" ht="45.75" customHeight="1" x14ac:dyDescent="0.2">
      <c r="A2" s="20" t="s">
        <v>396</v>
      </c>
      <c r="B2" s="20" t="s">
        <v>397</v>
      </c>
      <c r="C2" s="20" t="s">
        <v>398</v>
      </c>
      <c r="D2" s="20" t="s">
        <v>399</v>
      </c>
    </row>
    <row r="3" spans="1:4" ht="30" customHeight="1" x14ac:dyDescent="0.2">
      <c r="A3" s="21" t="s">
        <v>400</v>
      </c>
      <c r="B3" s="21" t="s">
        <v>401</v>
      </c>
      <c r="C3" s="21" t="s">
        <v>402</v>
      </c>
      <c r="D3" s="21" t="s">
        <v>403</v>
      </c>
    </row>
    <row r="4" spans="1:4" ht="30" customHeight="1" x14ac:dyDescent="0.2">
      <c r="A4" s="20" t="s">
        <v>404</v>
      </c>
      <c r="B4" s="20" t="s">
        <v>405</v>
      </c>
      <c r="C4" s="20" t="s">
        <v>406</v>
      </c>
      <c r="D4" s="20" t="s">
        <v>407</v>
      </c>
    </row>
    <row r="5" spans="1:4" ht="45.75" customHeight="1" x14ac:dyDescent="0.2">
      <c r="A5" s="21" t="s">
        <v>408</v>
      </c>
      <c r="B5" s="21" t="s">
        <v>409</v>
      </c>
      <c r="C5" s="21" t="s">
        <v>410</v>
      </c>
      <c r="D5" s="21" t="s">
        <v>411</v>
      </c>
    </row>
    <row r="6" spans="1:4" ht="34.5" customHeight="1" x14ac:dyDescent="0.2">
      <c r="A6" s="20" t="s">
        <v>412</v>
      </c>
      <c r="B6" s="20" t="s">
        <v>413</v>
      </c>
      <c r="C6" s="20" t="s">
        <v>414</v>
      </c>
      <c r="D6" s="20" t="s">
        <v>415</v>
      </c>
    </row>
    <row r="7" spans="1:4" ht="34.5" customHeight="1" x14ac:dyDescent="0.2">
      <c r="A7" s="21" t="s">
        <v>416</v>
      </c>
      <c r="B7" s="21" t="s">
        <v>417</v>
      </c>
      <c r="C7" s="21" t="s">
        <v>418</v>
      </c>
      <c r="D7" s="21" t="s">
        <v>419</v>
      </c>
    </row>
    <row r="8" spans="1:4" ht="30" customHeight="1" x14ac:dyDescent="0.2">
      <c r="A8" s="20" t="s">
        <v>420</v>
      </c>
      <c r="B8" s="20" t="s">
        <v>421</v>
      </c>
      <c r="C8" s="20" t="s">
        <v>422</v>
      </c>
      <c r="D8" s="20" t="s">
        <v>423</v>
      </c>
    </row>
    <row r="9" spans="1:4" ht="34.5" customHeight="1" x14ac:dyDescent="0.2">
      <c r="A9" s="21" t="s">
        <v>424</v>
      </c>
      <c r="B9" s="21" t="s">
        <v>425</v>
      </c>
      <c r="C9" s="21" t="s">
        <v>426</v>
      </c>
      <c r="D9" s="21" t="s">
        <v>427</v>
      </c>
    </row>
    <row r="10" spans="1:4" ht="34.5" customHeight="1" x14ac:dyDescent="0.2">
      <c r="A10" s="20" t="s">
        <v>428</v>
      </c>
      <c r="B10" s="20" t="s">
        <v>429</v>
      </c>
      <c r="C10" s="20" t="s">
        <v>430</v>
      </c>
      <c r="D10" s="20" t="s">
        <v>431</v>
      </c>
    </row>
    <row r="11" spans="1:4" ht="30" customHeight="1" x14ac:dyDescent="0.2">
      <c r="A11" s="21" t="s">
        <v>432</v>
      </c>
      <c r="B11" s="21" t="s">
        <v>433</v>
      </c>
      <c r="C11" s="21" t="s">
        <v>434</v>
      </c>
      <c r="D11" s="21" t="s">
        <v>435</v>
      </c>
    </row>
    <row r="12" spans="1:4" ht="34.5" customHeight="1" x14ac:dyDescent="0.2">
      <c r="A12" s="20" t="s">
        <v>436</v>
      </c>
      <c r="B12" s="20" t="s">
        <v>437</v>
      </c>
      <c r="C12" s="20" t="s">
        <v>438</v>
      </c>
      <c r="D12" s="20" t="s">
        <v>439</v>
      </c>
    </row>
    <row r="13" spans="1:4" ht="34.5" customHeight="1" x14ac:dyDescent="0.2">
      <c r="A13" s="21" t="s">
        <v>440</v>
      </c>
      <c r="B13" s="21" t="s">
        <v>441</v>
      </c>
      <c r="C13" s="21" t="s">
        <v>442</v>
      </c>
      <c r="D13" s="21" t="s">
        <v>443</v>
      </c>
    </row>
    <row r="14" spans="1:4" ht="34.5" customHeight="1" x14ac:dyDescent="0.2">
      <c r="A14" s="20" t="s">
        <v>444</v>
      </c>
      <c r="B14" s="20" t="s">
        <v>445</v>
      </c>
      <c r="C14" s="20" t="s">
        <v>446</v>
      </c>
      <c r="D14" s="20" t="s">
        <v>447</v>
      </c>
    </row>
    <row r="15" spans="1:4" ht="30" customHeight="1" x14ac:dyDescent="0.2">
      <c r="A15" s="21" t="s">
        <v>448</v>
      </c>
      <c r="B15" s="21" t="s">
        <v>449</v>
      </c>
      <c r="C15" s="21" t="s">
        <v>450</v>
      </c>
      <c r="D15" s="21" t="s">
        <v>451</v>
      </c>
    </row>
    <row r="16" spans="1:4" x14ac:dyDescent="0.2">
      <c r="A16" s="22"/>
      <c r="B16" s="22"/>
      <c r="C16" s="20"/>
      <c r="D16" s="20"/>
    </row>
    <row r="17" spans="1:4" ht="45.75" customHeight="1" x14ac:dyDescent="0.2">
      <c r="A17" s="22" t="s">
        <v>452</v>
      </c>
      <c r="B17" s="22" t="s">
        <v>453</v>
      </c>
      <c r="C17" s="20" t="s">
        <v>454</v>
      </c>
      <c r="D17" s="20" t="s">
        <v>455</v>
      </c>
    </row>
    <row r="18" spans="1:4" ht="45.75" customHeight="1" x14ac:dyDescent="0.2">
      <c r="A18" s="22" t="s">
        <v>456</v>
      </c>
      <c r="B18" s="22" t="s">
        <v>457</v>
      </c>
      <c r="C18" s="20" t="s">
        <v>458</v>
      </c>
      <c r="D18" s="20" t="s">
        <v>459</v>
      </c>
    </row>
    <row r="19" spans="1:4" ht="45.75" customHeight="1" x14ac:dyDescent="0.2">
      <c r="A19" s="22" t="s">
        <v>460</v>
      </c>
      <c r="B19" s="22" t="s">
        <v>461</v>
      </c>
      <c r="C19" s="20" t="s">
        <v>462</v>
      </c>
      <c r="D19" s="20" t="s">
        <v>463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Contexte</vt:lpstr>
      <vt:lpstr>Exigences</vt:lpstr>
      <vt:lpstr>Paramètres</vt:lpstr>
      <vt:lpstr>Risques et décisions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OUNDJIAN, Raphael</cp:lastModifiedBy>
  <cp:revision>0</cp:revision>
  <dcterms:created xsi:type="dcterms:W3CDTF">2026-07-27T08:42:40Z</dcterms:created>
  <dcterms:modified xsi:type="dcterms:W3CDTF">2026-07-27T16:39:35Z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cb221a-6e97-4d92-b656-ecf531a71c86_ActionId">
    <vt:lpwstr>94ffce68-90cc-4ac0-9faf-1b21edb262b4</vt:lpwstr>
  </property>
  <property fmtid="{D5CDD505-2E9C-101B-9397-08002B2CF9AE}" pid="3" name="MSIP_Label_afcb221a-6e97-4d92-b656-ecf531a71c86_ContentBits">
    <vt:lpwstr>0</vt:lpwstr>
  </property>
  <property fmtid="{D5CDD505-2E9C-101B-9397-08002B2CF9AE}" pid="4" name="MSIP_Label_afcb221a-6e97-4d92-b656-ecf531a71c86_Enabled">
    <vt:lpwstr>true</vt:lpwstr>
  </property>
  <property fmtid="{D5CDD505-2E9C-101B-9397-08002B2CF9AE}" pid="5" name="MSIP_Label_afcb221a-6e97-4d92-b656-ecf531a71c86_Method">
    <vt:lpwstr>Standard</vt:lpwstr>
  </property>
  <property fmtid="{D5CDD505-2E9C-101B-9397-08002B2CF9AE}" pid="6" name="MSIP_Label_afcb221a-6e97-4d92-b656-ecf531a71c86_Name">
    <vt:lpwstr>General</vt:lpwstr>
  </property>
  <property fmtid="{D5CDD505-2E9C-101B-9397-08002B2CF9AE}" pid="7" name="MSIP_Label_afcb221a-6e97-4d92-b656-ecf531a71c86_SetDate">
    <vt:lpwstr>2026-07-27T09:45:08Z</vt:lpwstr>
  </property>
  <property fmtid="{D5CDD505-2E9C-101B-9397-08002B2CF9AE}" pid="8" name="MSIP_Label_afcb221a-6e97-4d92-b656-ecf531a71c86_SiteId">
    <vt:lpwstr>6f2633ea-c60d-4a07-be1c-b5cd19f27133</vt:lpwstr>
  </property>
  <property fmtid="{D5CDD505-2E9C-101B-9397-08002B2CF9AE}" pid="9" name="MSIP_Label_afcb221a-6e97-4d92-b656-ecf531a71c86_Tag">
    <vt:lpwstr>50, 3, 0, 1</vt:lpwstr>
  </property>
</Properties>
</file>